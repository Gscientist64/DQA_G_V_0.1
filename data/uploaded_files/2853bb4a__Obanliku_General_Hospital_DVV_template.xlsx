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DVV template" sheetId="1" r:id="rId1"/>
    <sheet name="SDQA Monthly Breakdown" sheetId="3" r:id="rId2"/>
    <sheet name="HTS Tally Sheet" sheetId="4" r:id="rId3"/>
    <sheet name="Sheet1" sheetId="2"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tc={8563D5D2-E826-4566-861D-E4F9A1600E94}</author>
    <author>Etiemana Isang</author>
  </authors>
  <commentList>
    <comment ref="Y63"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r>
      </text>
    </comment>
    <comment ref="AS97" authorId="1">
      <text>
        <r>
          <rPr>
            <b/>
            <sz val="14"/>
            <rFont val="Tahoma"/>
            <charset val="134"/>
          </rPr>
          <t>Etiemana Isang:</t>
        </r>
        <r>
          <rPr>
            <sz val="14"/>
            <rFont val="Tahoma"/>
            <charset val="134"/>
          </rPr>
          <t xml:space="preserve">
Q2 FY24 DQA % Score</t>
        </r>
      </text>
    </comment>
  </commentList>
</comments>
</file>

<file path=xl/comments2.xml><?xml version="1.0" encoding="utf-8"?>
<comments xmlns="http://schemas.openxmlformats.org/spreadsheetml/2006/main">
  <authors>
    <author>Luwizatu Adamu</author>
  </authors>
  <commentList>
    <comment ref="B5" authorId="0">
      <text>
        <r>
          <rPr>
            <b/>
            <sz val="9"/>
            <rFont val="Tahoma"/>
            <charset val="134"/>
          </rPr>
          <t>Luwizatu Adamu:</t>
        </r>
        <r>
          <rPr>
            <sz val="9"/>
            <rFont val="Tahoma"/>
            <charset val="134"/>
          </rPr>
          <t xml:space="preserve">
Yet to add TB STAT N</t>
        </r>
      </text>
    </comment>
  </commentList>
</comments>
</file>

<file path=xl/comments3.xml><?xml version="1.0" encoding="utf-8"?>
<comments xmlns="http://schemas.openxmlformats.org/spreadsheetml/2006/main">
  <authors>
    <author>Etiemana Isang</author>
    <author>tc={BDB79FE2-E529-42F1-B506-E4A231E390DF}</author>
    <author>tc={B7303BED-7FDF-458C-B563-0522AEFAEC09}</author>
  </authors>
  <commentList>
    <comment ref="B1" authorId="0">
      <text>
        <r>
          <rPr>
            <b/>
            <sz val="9"/>
            <rFont val="Tahoma"/>
            <charset val="134"/>
          </rPr>
          <t>Etiem</t>
        </r>
      </text>
    </comment>
    <comment ref="B5" authorId="1">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Note that Post ANC1 should capture first time HIV tests for women who missed HTS at ANC1. 
In the subsequent quarters DQA, Post ANC1 and Retesting will be merged as one</t>
        </r>
      </text>
    </comment>
    <comment ref="B17" authorId="2">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Note that in subsequent quarters 
DQA, TB Site HTS data would be part of the count for Standalone HTS</t>
        </r>
      </text>
    </comment>
  </commentList>
</comments>
</file>

<file path=xl/sharedStrings.xml><?xml version="1.0" encoding="utf-8"?>
<sst xmlns="http://schemas.openxmlformats.org/spreadsheetml/2006/main" count="433" uniqueCount="285">
  <si>
    <t>Site-level Data Validation and Verification Report  [Data Quality Assurance (DQA) Tool]</t>
  </si>
  <si>
    <t>State</t>
  </si>
  <si>
    <t>Local Government Area</t>
  </si>
  <si>
    <t>Obanliku</t>
  </si>
  <si>
    <t>Name of Facility</t>
  </si>
  <si>
    <t>Obanliku General Hospital</t>
  </si>
  <si>
    <t>Date of DQA</t>
  </si>
  <si>
    <t>14/1/2026</t>
  </si>
  <si>
    <t>Review Quarter</t>
  </si>
  <si>
    <t>FY26 Q1</t>
  </si>
  <si>
    <t xml:space="preserve">Assessment Components </t>
  </si>
  <si>
    <r>
      <rPr>
        <b/>
        <sz val="11"/>
        <color theme="0"/>
        <rFont val="Aptos Narrow"/>
        <charset val="134"/>
        <scheme val="minor"/>
      </rPr>
      <t xml:space="preserve">AVAILABILITY
 (Summary Form &amp; Registers)
</t>
    </r>
    <r>
      <rPr>
        <sz val="11"/>
        <color theme="0"/>
        <rFont val="Aptos Narrow"/>
        <charset val="134"/>
        <scheme val="minor"/>
      </rPr>
      <t xml:space="preserve">Available &amp; Sighted | Completely filed out | Duly signed- Score '2'
Not available | Incompletely filled | Incomplete sign off - Score '0'
</t>
    </r>
  </si>
  <si>
    <r>
      <rPr>
        <b/>
        <sz val="11"/>
        <color theme="0"/>
        <rFont val="Aptos Narrow"/>
        <charset val="134"/>
        <scheme val="minor"/>
      </rPr>
      <t xml:space="preserve">INTEGRITY
</t>
    </r>
    <r>
      <rPr>
        <sz val="11"/>
        <color theme="0"/>
        <rFont val="Aptos Narrow"/>
        <charset val="134"/>
        <scheme val="minor"/>
      </rPr>
      <t>Alterations sighted - Score '0'
No Alterations - Score '2'</t>
    </r>
  </si>
  <si>
    <r>
      <rPr>
        <b/>
        <sz val="11"/>
        <color theme="1"/>
        <rFont val="Aptos Narrow"/>
        <charset val="134"/>
        <scheme val="minor"/>
      </rPr>
      <t xml:space="preserve">CONSISTENCY 
(Source documents Vs. Register)
</t>
    </r>
    <r>
      <rPr>
        <sz val="11"/>
        <color theme="1"/>
        <rFont val="Aptos Narrow"/>
        <charset val="134"/>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</si>
  <si>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</si>
  <si>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</si>
  <si>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</si>
  <si>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</si>
  <si>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</si>
  <si>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</si>
  <si>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</si>
  <si>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</si>
  <si>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</si>
  <si>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</si>
  <si>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</si>
  <si>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</si>
  <si>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</si>
  <si>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</si>
  <si>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</si>
  <si>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</si>
  <si>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</si>
  <si>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</si>
  <si>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</si>
  <si>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</si>
  <si>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</si>
  <si>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</si>
  <si>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</si>
  <si>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</si>
  <si>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rPr>
        <b/>
        <sz val="11"/>
        <color theme="0"/>
        <rFont val="Aptos Narrow"/>
        <charset val="134"/>
        <scheme val="minor"/>
      </rPr>
      <t xml:space="preserve">Related Lab worksheet: EID Lab Register </t>
    </r>
    <r>
      <rPr>
        <b/>
        <sz val="11"/>
        <color rgb="FFFFFF00"/>
        <rFont val="Aptos Narrow"/>
        <charset val="134"/>
        <scheme val="minor"/>
      </rPr>
      <t xml:space="preserve">(H) </t>
    </r>
    <r>
      <rPr>
        <b/>
        <sz val="11"/>
        <color theme="0"/>
        <rFont val="Aptos Narrow"/>
        <charset val="134"/>
        <scheme val="minor"/>
      </rPr>
      <t xml:space="preserve">OR Daily HIV Testing worksheet </t>
    </r>
    <r>
      <rPr>
        <b/>
        <sz val="11"/>
        <color rgb="FFFFFF00"/>
        <rFont val="Aptos Narrow"/>
        <charset val="134"/>
        <scheme val="minor"/>
      </rPr>
      <t>(H)</t>
    </r>
  </si>
  <si>
    <t>% Agreement</t>
  </si>
  <si>
    <t>Score</t>
  </si>
  <si>
    <t>Max. Score</t>
  </si>
  <si>
    <t xml:space="preserve">Total Score </t>
  </si>
  <si>
    <t>Total Max. Score</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</si>
  <si>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</si>
  <si>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</si>
  <si>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</si>
  <si>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</si>
  <si>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</si>
  <si>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</si>
  <si>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</si>
  <si>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</si>
  <si>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</si>
  <si>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</si>
  <si>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</si>
  <si>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</si>
  <si>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</si>
  <si>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</si>
  <si>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</si>
  <si>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</si>
  <si>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</si>
  <si>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</si>
  <si>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</si>
  <si>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</si>
  <si>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</si>
  <si>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charset val="134"/>
        <scheme val="minor"/>
      </rPr>
      <t>Number of pregnant women with known HIV status at antenatal care (</t>
    </r>
    <r>
      <rPr>
        <sz val="12"/>
        <color rgb="FFC00000"/>
        <rFont val="Aptos Narrow"/>
        <charset val="134"/>
        <scheme val="minor"/>
      </rPr>
      <t xml:space="preserve">includes those who are newly tested HIV positive </t>
    </r>
    <r>
      <rPr>
        <sz val="12"/>
        <rFont val="Aptos Narrow"/>
        <charset val="134"/>
        <scheme val="minor"/>
      </rPr>
      <t xml:space="preserve">and </t>
    </r>
    <r>
      <rPr>
        <sz val="12"/>
        <color rgb="FFC00000"/>
        <rFont val="Aptos Narrow"/>
        <charset val="134"/>
        <scheme val="minor"/>
      </rPr>
      <t>those who already knew their HIV status prior to ANC</t>
    </r>
    <r>
      <rPr>
        <sz val="12"/>
        <rFont val="Aptos Narrow"/>
        <charset val="134"/>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</si>
  <si>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</si>
  <si>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</si>
  <si>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</si>
  <si>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</si>
  <si>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</si>
  <si>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</si>
  <si>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</si>
  <si>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</si>
  <si>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</si>
  <si>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</si>
  <si>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PMTCT_HEI_POS on ART</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</si>
  <si>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</si>
  <si>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</si>
  <si>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</si>
  <si>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</si>
  <si>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</si>
  <si>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</si>
  <si>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who were newly enrolled on pre-exposure prophylaxis (PrEP) to prevent HIV infection in the reporting period</t>
    </r>
  </si>
  <si>
    <t>PrEP_ CT</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</si>
  <si>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</si>
  <si>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</si>
  <si>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</si>
  <si>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</si>
  <si>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</si>
  <si>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</si>
  <si>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</si>
  <si>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</si>
  <si>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</si>
  <si>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</si>
  <si>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</si>
  <si>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</si>
  <si>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</si>
  <si>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</si>
  <si>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TX_ML _Stopped Treatment</t>
  </si>
  <si>
    <t>TX_ML _Transfers Out</t>
  </si>
  <si>
    <t>TX_ML _IIT (LTFU) &lt; 3months on ART</t>
  </si>
  <si>
    <t>TX_ML _IIT (LTFU) &gt; 3months on ART</t>
  </si>
  <si>
    <t>TX_PVLS (N)</t>
  </si>
  <si>
    <t>“Number of ART patients with suppressed VL results (&lt;1,000 copies/ml) documented in the medical or laboratory records/LIS within the past 12 months”.</t>
  </si>
  <si>
    <t>TX_PVLS (D)</t>
  </si>
  <si>
    <t>“Number of ART patients with a VL result documented in the medical or laboratory records/LIS within the past 12 months”.</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</si>
  <si>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</si>
  <si>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</si>
  <si>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</si>
  <si>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</si>
  <si>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</si>
  <si>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</si>
  <si>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</si>
  <si>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</si>
  <si>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</si>
  <si>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</si>
  <si>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</si>
  <si>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</si>
  <si>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</si>
  <si>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SDQA WORKSHEET</t>
  </si>
  <si>
    <t>Facility:</t>
  </si>
  <si>
    <t>Assessor:</t>
  </si>
  <si>
    <t>INDICATORS</t>
  </si>
  <si>
    <t>PERIOD (FY26 Q1)</t>
  </si>
  <si>
    <t>Register Count</t>
  </si>
  <si>
    <r>
      <rPr>
        <b/>
        <sz val="10"/>
        <color theme="0"/>
        <rFont val="Poppins"/>
        <charset val="134"/>
      </rPr>
      <t xml:space="preserve">Reported Figures on </t>
    </r>
    <r>
      <rPr>
        <b/>
        <sz val="10"/>
        <color rgb="FFFFFDB3"/>
        <rFont val="Poppins"/>
        <charset val="134"/>
      </rPr>
      <t>Facility MSF</t>
    </r>
  </si>
  <si>
    <r>
      <rPr>
        <b/>
        <sz val="10"/>
        <color theme="0"/>
        <rFont val="Poppins"/>
        <charset val="134"/>
      </rPr>
      <t xml:space="preserve">Reported Figures on </t>
    </r>
    <r>
      <rPr>
        <b/>
        <sz val="10"/>
        <color rgb="FFFFFDB3"/>
        <rFont val="Poppins"/>
        <charset val="134"/>
      </rPr>
      <t>HFR</t>
    </r>
  </si>
  <si>
    <r>
      <rPr>
        <b/>
        <sz val="10"/>
        <color theme="0"/>
        <rFont val="Poppins"/>
        <charset val="134"/>
      </rPr>
      <t>Documented on</t>
    </r>
    <r>
      <rPr>
        <b/>
        <sz val="10"/>
        <color rgb="FFFFFDB3"/>
        <rFont val="Poppins"/>
        <charset val="134"/>
      </rPr>
      <t xml:space="preserve"> LAMIS (EMR)</t>
    </r>
  </si>
  <si>
    <r>
      <rPr>
        <b/>
        <sz val="10"/>
        <color theme="1"/>
        <rFont val="Poppins"/>
        <charset val="134"/>
      </rPr>
      <t xml:space="preserve">Reported Figures on </t>
    </r>
    <r>
      <rPr>
        <b/>
        <sz val="10"/>
        <color rgb="FFFF0000"/>
        <rFont val="Poppins"/>
        <charset val="134"/>
      </rPr>
      <t>NDARS</t>
    </r>
  </si>
  <si>
    <r>
      <rPr>
        <b/>
        <sz val="10"/>
        <color theme="0"/>
        <rFont val="Poppins"/>
        <charset val="134"/>
      </rPr>
      <t xml:space="preserve">Reported Figures on </t>
    </r>
    <r>
      <rPr>
        <b/>
        <sz val="10"/>
        <color rgb="FFFFFDB3"/>
        <rFont val="Poppins"/>
        <charset val="134"/>
      </rPr>
      <t>DHIS MSF</t>
    </r>
  </si>
  <si>
    <t>R&amp;R</t>
  </si>
  <si>
    <t>Client Intake forms and R&amp;R</t>
  </si>
  <si>
    <t>Pharmacy daily worksheet</t>
  </si>
  <si>
    <t>Daily Testing Worksheet</t>
  </si>
  <si>
    <t>MSF completely filled</t>
  </si>
  <si>
    <t>Register completely filled</t>
  </si>
  <si>
    <t>Register duly signed</t>
  </si>
  <si>
    <t xml:space="preserve">Mutilation on MSF </t>
  </si>
  <si>
    <t>Mutilation on Register</t>
  </si>
  <si>
    <t>Consistency with primary source documents</t>
  </si>
  <si>
    <t>Reasons for the discrepancy (if any) observed (i.e. data entry error, arithmetic error, missing source document, transcription error, others)</t>
  </si>
  <si>
    <t>Action Plan</t>
  </si>
  <si>
    <t>HTS_TST (Total)</t>
  </si>
  <si>
    <t>October</t>
  </si>
  <si>
    <t>November</t>
  </si>
  <si>
    <t>December</t>
  </si>
  <si>
    <t>HTS_TST_POS (Total)</t>
  </si>
  <si>
    <t>POST_RESP [Number of persons receiving clinical care for Physical/Emotional violence]</t>
  </si>
  <si>
    <t>POST_RESP [Number of persons receiving clinical care for sexual violence]</t>
  </si>
  <si>
    <t>POST_RESP [Number of persons receiving clincical care for sexual violence_Eligible for PEP]</t>
  </si>
  <si>
    <t>POST_RESP [Number of persons receiving clinical care for sexual violence_Started on PEP]</t>
  </si>
  <si>
    <t>PMTCT_STAT (D)</t>
  </si>
  <si>
    <t>PMTCT_STAT (N)</t>
  </si>
  <si>
    <t>PMTCT_EID (0 to &lt; 72 hours)</t>
  </si>
  <si>
    <t>PMTCT_EID (72 hours - &lt;2 months)</t>
  </si>
  <si>
    <t>PMTCT_EID (2-12 months)</t>
  </si>
  <si>
    <t>Negative DNA PCR Results</t>
  </si>
  <si>
    <t>TB_STAT (N)</t>
  </si>
  <si>
    <t>TB_STAT (D)</t>
  </si>
  <si>
    <r>
      <rPr>
        <b/>
        <sz val="12"/>
        <color theme="1"/>
        <rFont val="Poppins"/>
        <charset val="134"/>
      </rPr>
      <t>PrEP_NEW [</t>
    </r>
    <r>
      <rPr>
        <sz val="12"/>
        <color theme="1"/>
        <rFont val="Poppins"/>
        <charset val="134"/>
      </rPr>
      <t>Number of PBFW who were newly enrolled on pre-exposure prophylaxis (PrEP) to prevent HIV infection in the reporting period</t>
    </r>
    <r>
      <rPr>
        <b/>
        <sz val="12"/>
        <color theme="1"/>
        <rFont val="Poppins"/>
        <charset val="134"/>
      </rPr>
      <t>]</t>
    </r>
  </si>
  <si>
    <r>
      <rPr>
        <b/>
        <sz val="12"/>
        <color theme="1"/>
        <rFont val="Poppins"/>
        <charset val="134"/>
      </rPr>
      <t>PrEP_CT [</t>
    </r>
    <r>
      <rPr>
        <sz val="12"/>
        <color theme="1"/>
        <rFont val="Poppins"/>
        <charset val="134"/>
      </rPr>
      <t>Number of PBFW, excluding those newly enrolled, that return for a follow-up visit or re-initiation visit to receive pre-exposure prophylaxis (PrEP) to prevent HIV during the reporting period</t>
    </r>
    <r>
      <rPr>
        <b/>
        <sz val="12"/>
        <color theme="1"/>
        <rFont val="Poppins"/>
        <charset val="134"/>
      </rPr>
      <t>]</t>
    </r>
  </si>
  <si>
    <r>
      <rPr>
        <b/>
        <sz val="12"/>
        <color theme="1"/>
        <rFont val="Poppins"/>
        <charset val="134"/>
      </rPr>
      <t>TX_NEW</t>
    </r>
    <r>
      <rPr>
        <b/>
        <sz val="12"/>
        <color rgb="FFC00000"/>
        <rFont val="Poppins"/>
        <charset val="134"/>
      </rPr>
      <t xml:space="preserve"> [Reference the achievements from HTS_TST_POS + PMTCT_HEI_POS on ART]</t>
    </r>
  </si>
  <si>
    <t>Transfer_ins</t>
  </si>
  <si>
    <t>TX_ML Died</t>
  </si>
  <si>
    <t>TX_ML Stopped Treatment</t>
  </si>
  <si>
    <t>TX_ML Transfers out</t>
  </si>
  <si>
    <t>TX_ML  IIT (On ART for &lt; 3 months)</t>
  </si>
  <si>
    <t>TX_ML  IIT (On ART for &gt; 3 months)</t>
  </si>
  <si>
    <t>HTS_TST (Total testing)</t>
  </si>
  <si>
    <t>SN</t>
  </si>
  <si>
    <t>SDP/Testing Modality</t>
  </si>
  <si>
    <r>
      <rPr>
        <i/>
        <sz val="8"/>
        <color theme="1"/>
        <rFont val="Aptos Narrow"/>
        <charset val="134"/>
        <scheme val="minor"/>
      </rPr>
      <t>ANC 1 (</t>
    </r>
    <r>
      <rPr>
        <i/>
        <sz val="8"/>
        <color rgb="FFFF0000"/>
        <rFont val="Aptos Narrow"/>
        <charset val="134"/>
        <scheme val="minor"/>
      </rPr>
      <t>Exclude Known Positives</t>
    </r>
    <r>
      <rPr>
        <i/>
        <sz val="8"/>
        <color theme="1"/>
        <rFont val="Aptos Narrow"/>
        <charset val="134"/>
        <scheme val="minor"/>
      </rPr>
      <t>)</t>
    </r>
  </si>
  <si>
    <t>VCT</t>
  </si>
  <si>
    <t>3 i</t>
  </si>
  <si>
    <r>
      <rPr>
        <i/>
        <sz val="8"/>
        <color theme="1"/>
        <rFont val="Aptos Narrow"/>
        <charset val="134"/>
        <scheme val="minor"/>
      </rPr>
      <t xml:space="preserve">Post ANC1 </t>
    </r>
    <r>
      <rPr>
        <b/>
        <i/>
        <sz val="8"/>
        <color theme="9"/>
        <rFont val="Aptos Narrow"/>
        <charset val="134"/>
        <scheme val="minor"/>
      </rPr>
      <t>Pregnant</t>
    </r>
    <r>
      <rPr>
        <i/>
        <sz val="8"/>
        <color theme="1"/>
        <rFont val="Aptos Narrow"/>
        <charset val="134"/>
        <scheme val="minor"/>
      </rPr>
      <t xml:space="preserve"> </t>
    </r>
  </si>
  <si>
    <t>Post ANC1 Pregnant</t>
  </si>
  <si>
    <t>3 ii</t>
  </si>
  <si>
    <r>
      <rPr>
        <i/>
        <sz val="8"/>
        <color theme="1"/>
        <rFont val="Aptos Narrow"/>
        <charset val="134"/>
        <scheme val="minor"/>
      </rPr>
      <t xml:space="preserve">Post ANC1 </t>
    </r>
    <r>
      <rPr>
        <b/>
        <i/>
        <sz val="8"/>
        <color theme="9"/>
        <rFont val="Aptos Narrow"/>
        <charset val="134"/>
        <scheme val="minor"/>
      </rPr>
      <t>L&amp;D</t>
    </r>
  </si>
  <si>
    <t>Post ANC1 L&amp;D</t>
  </si>
  <si>
    <t>3 iii</t>
  </si>
  <si>
    <r>
      <rPr>
        <i/>
        <sz val="8"/>
        <color theme="1"/>
        <rFont val="Aptos Narrow"/>
        <charset val="134"/>
        <scheme val="minor"/>
      </rPr>
      <t xml:space="preserve">Post ANC1 </t>
    </r>
    <r>
      <rPr>
        <b/>
        <i/>
        <sz val="8"/>
        <color theme="9"/>
        <rFont val="Aptos Narrow"/>
        <charset val="134"/>
        <scheme val="minor"/>
      </rPr>
      <t>Breastfeeding</t>
    </r>
  </si>
  <si>
    <t>Post ANC1 Breastfeeding</t>
  </si>
  <si>
    <t>3 iv</t>
  </si>
  <si>
    <t xml:space="preserve">Retesting at ANC1 </t>
  </si>
  <si>
    <t>Retesting at ANC1</t>
  </si>
  <si>
    <t>3 v</t>
  </si>
  <si>
    <t>Retesting at L&amp;D</t>
  </si>
  <si>
    <t>3 vi</t>
  </si>
  <si>
    <r>
      <rPr>
        <i/>
        <sz val="8"/>
        <color theme="1"/>
        <rFont val="Aptos Narrow"/>
        <charset val="134"/>
        <scheme val="minor"/>
      </rPr>
      <t xml:space="preserve">Retesting at Breastfeeding/Postpartum </t>
    </r>
    <r>
      <rPr>
        <i/>
        <sz val="8"/>
        <color rgb="FFC00000"/>
        <rFont val="Aptos Narrow"/>
        <charset val="134"/>
        <scheme val="minor"/>
      </rPr>
      <t>[&lt; 72 hrs and &gt;72 hrs]</t>
    </r>
  </si>
  <si>
    <t>PMTCT Spoke</t>
  </si>
  <si>
    <t>LAB</t>
  </si>
  <si>
    <t>In-Patients</t>
  </si>
  <si>
    <t>STI Site</t>
  </si>
  <si>
    <t>FP Site</t>
  </si>
  <si>
    <t>OPD Testing (STANDALONE)</t>
  </si>
  <si>
    <t>TB SITE 
(for Presumptive TB patients that are HIV- or HIV+)</t>
  </si>
  <si>
    <t>Emergency</t>
  </si>
  <si>
    <t>Other PITC</t>
  </si>
  <si>
    <t>13 i</t>
  </si>
  <si>
    <t>HTS MSF Addendum (Pediatrics: &lt;5 Clinic)</t>
  </si>
  <si>
    <t>13 ii</t>
  </si>
  <si>
    <t>HTS MSF Addendum (Malnutrition)</t>
  </si>
  <si>
    <t>13 iii</t>
  </si>
  <si>
    <t>HTS MSF Addendum (Blood bank)</t>
  </si>
  <si>
    <t>Social Network Strategies Testing (Facility)</t>
  </si>
  <si>
    <r>
      <rPr>
        <i/>
        <sz val="8"/>
        <color theme="1"/>
        <rFont val="Aptos Narrow"/>
        <charset val="134"/>
        <scheme val="minor"/>
      </rPr>
      <t xml:space="preserve">TB_STAT_N 
</t>
    </r>
    <r>
      <rPr>
        <b/>
        <i/>
        <sz val="8"/>
        <color rgb="FFFF0000"/>
        <rFont val="Aptos Narrow"/>
        <charset val="134"/>
        <scheme val="minor"/>
      </rPr>
      <t xml:space="preserve">(Newly Tested HIV positive + Newly Tested HIV negative </t>
    </r>
    <r>
      <rPr>
        <b/>
        <i/>
        <sz val="8"/>
        <color theme="1"/>
        <rFont val="Aptos Narrow"/>
        <charset val="134"/>
        <scheme val="minor"/>
      </rPr>
      <t>from TB MSF</t>
    </r>
    <r>
      <rPr>
        <b/>
        <i/>
        <sz val="8"/>
        <color rgb="FFFF0000"/>
        <rFont val="Aptos Narrow"/>
        <charset val="134"/>
        <scheme val="minor"/>
      </rPr>
      <t>)</t>
    </r>
  </si>
  <si>
    <r>
      <rPr>
        <i/>
        <sz val="8"/>
        <color theme="1"/>
        <rFont val="Aptos Narrow"/>
        <charset val="134"/>
        <scheme val="minor"/>
      </rPr>
      <t xml:space="preserve">TB_STAT_N </t>
    </r>
    <r>
      <rPr>
        <b/>
        <i/>
        <sz val="8"/>
        <color rgb="FFFF0000"/>
        <rFont val="Aptos Narrow"/>
        <charset val="134"/>
        <scheme val="minor"/>
      </rPr>
      <t xml:space="preserve">(Newly Tested HIV+ </t>
    </r>
    <r>
      <rPr>
        <b/>
        <i/>
        <sz val="8"/>
        <color theme="1"/>
        <rFont val="Aptos Narrow"/>
        <charset val="134"/>
        <scheme val="minor"/>
      </rPr>
      <t>from TB MSF</t>
    </r>
    <r>
      <rPr>
        <b/>
        <i/>
        <sz val="8"/>
        <color rgb="FFFF0000"/>
        <rFont val="Aptos Narrow"/>
        <charset val="134"/>
        <scheme val="minor"/>
      </rPr>
      <t>)</t>
    </r>
  </si>
  <si>
    <t>FACILITY PNS</t>
  </si>
  <si>
    <t>FACILITY SNT</t>
  </si>
  <si>
    <t>FACILITY GENEALOGY</t>
  </si>
  <si>
    <t>COMM SNT</t>
  </si>
  <si>
    <t>COMM GENEALOGY</t>
  </si>
  <si>
    <t>TOTAL = HTS_INDEX (16+17+18+19)</t>
  </si>
  <si>
    <t>TOTAL = HTS_INDEX_POS (16+17+18+19)</t>
  </si>
  <si>
    <t>Social Network Strategies Testing (Community)</t>
  </si>
  <si>
    <t>Epidemic Response Team (Outreach)</t>
  </si>
  <si>
    <t>HTS MSF Addendum (OVC)</t>
  </si>
  <si>
    <t>HTS_TST [Community (18+19+20+21+22)</t>
  </si>
  <si>
    <t>HTS_TST_POS [Community (18+19+20+21+22)</t>
  </si>
  <si>
    <t>HTS_TST [Facility) Sum of 1 - 17]</t>
  </si>
  <si>
    <t>HTS_TST_POS [Facility) Sum of 1 - 17]</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</si>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</sst>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90">
    <font>
      <sz val="11"/>
      <color theme="1"/>
      <name val="Aptos Narrow"/>
      <charset val="134"/>
      <scheme val="minor"/>
    </font>
    <font>
      <b/>
      <sz val="8"/>
      <color theme="1"/>
      <name val="Aptos Narrow"/>
      <charset val="134"/>
      <scheme val="minor"/>
    </font>
    <font>
      <sz val="8"/>
      <color theme="1"/>
      <name val="Aptos Narrow"/>
      <charset val="134"/>
      <scheme val="minor"/>
    </font>
    <font>
      <sz val="10"/>
      <color theme="1"/>
      <name val="Aptos Narrow"/>
      <charset val="134"/>
      <scheme val="minor"/>
    </font>
    <font>
      <b/>
      <sz val="12"/>
      <color theme="0"/>
      <name val="Aptos Narrow"/>
      <charset val="134"/>
      <scheme val="minor"/>
    </font>
    <font>
      <b/>
      <i/>
      <sz val="8"/>
      <color theme="1"/>
      <name val="Aptos Narrow"/>
      <charset val="134"/>
      <scheme val="minor"/>
    </font>
    <font>
      <b/>
      <sz val="8"/>
      <color theme="1"/>
      <name val="Times New Roman"/>
      <charset val="134"/>
    </font>
    <font>
      <b/>
      <sz val="8"/>
      <color rgb="FF000000"/>
      <name val="Aptos Narrow"/>
      <charset val="134"/>
      <scheme val="minor"/>
    </font>
    <font>
      <b/>
      <sz val="8"/>
      <color theme="0"/>
      <name val="Aptos Narrow"/>
      <charset val="134"/>
      <scheme val="minor"/>
    </font>
    <font>
      <sz val="8"/>
      <color theme="1"/>
      <name val="Times New Roman"/>
      <charset val="134"/>
    </font>
    <font>
      <i/>
      <sz val="8"/>
      <color theme="1"/>
      <name val="Aptos Narrow"/>
      <charset val="134"/>
      <scheme val="minor"/>
    </font>
    <font>
      <i/>
      <sz val="8"/>
      <color rgb="FF000000"/>
      <name val="Aptos Narrow"/>
      <charset val="134"/>
      <scheme val="minor"/>
    </font>
    <font>
      <i/>
      <sz val="8"/>
      <name val="Aptos Narrow"/>
      <charset val="134"/>
      <scheme val="minor"/>
    </font>
    <font>
      <b/>
      <i/>
      <sz val="8"/>
      <color rgb="FF000000"/>
      <name val="Aptos Narrow"/>
      <charset val="134"/>
      <scheme val="minor"/>
    </font>
    <font>
      <sz val="8"/>
      <color rgb="FF000000"/>
      <name val="Aptos Narrow"/>
      <charset val="134"/>
      <scheme val="minor"/>
    </font>
    <font>
      <b/>
      <sz val="10"/>
      <color theme="1"/>
      <name val="Aptos Narrow"/>
      <charset val="134"/>
      <scheme val="minor"/>
    </font>
    <font>
      <sz val="11"/>
      <color theme="1"/>
      <name val="Poppins"/>
      <charset val="134"/>
    </font>
    <font>
      <sz val="13"/>
      <color theme="1"/>
      <name val="Poppins"/>
      <charset val="134"/>
    </font>
    <font>
      <sz val="14"/>
      <color theme="1"/>
      <name val="Poppins"/>
      <charset val="134"/>
    </font>
    <font>
      <b/>
      <sz val="30"/>
      <color theme="1"/>
      <name val="Poppins"/>
      <charset val="134"/>
    </font>
    <font>
      <b/>
      <sz val="13"/>
      <color theme="1"/>
      <name val="Poppins"/>
      <charset val="134"/>
    </font>
    <font>
      <b/>
      <sz val="13"/>
      <color theme="0"/>
      <name val="Poppins"/>
      <charset val="134"/>
    </font>
    <font>
      <b/>
      <sz val="11"/>
      <color theme="0"/>
      <name val="Poppins"/>
      <charset val="134"/>
    </font>
    <font>
      <b/>
      <sz val="10"/>
      <color theme="0"/>
      <name val="Poppins"/>
      <charset val="134"/>
    </font>
    <font>
      <b/>
      <sz val="12"/>
      <color theme="1"/>
      <name val="Poppins"/>
      <charset val="134"/>
    </font>
    <font>
      <b/>
      <sz val="11"/>
      <color theme="1"/>
      <name val="Poppins"/>
      <charset val="134"/>
    </font>
    <font>
      <sz val="14"/>
      <color theme="1"/>
      <name val="Aptos Narrow"/>
      <charset val="134"/>
      <scheme val="minor"/>
    </font>
    <font>
      <b/>
      <sz val="9"/>
      <color theme="0"/>
      <name val="Poppins"/>
      <charset val="134"/>
    </font>
    <font>
      <sz val="14"/>
      <name val="Poppins"/>
      <charset val="134"/>
    </font>
    <font>
      <sz val="18"/>
      <name val="Aptos Narrow"/>
      <charset val="134"/>
      <scheme val="minor"/>
    </font>
    <font>
      <sz val="11"/>
      <color theme="1"/>
      <name val="Aptos Narrow"/>
      <charset val="134"/>
      <scheme val="minor"/>
    </font>
    <font>
      <b/>
      <sz val="18"/>
      <color theme="0"/>
      <name val="Aptos Narrow"/>
      <charset val="134"/>
      <scheme val="minor"/>
    </font>
    <font>
      <b/>
      <sz val="25"/>
      <color theme="0"/>
      <name val="Aptos Narrow"/>
      <charset val="134"/>
      <scheme val="minor"/>
    </font>
    <font>
      <b/>
      <sz val="15"/>
      <color theme="1"/>
      <name val="Aptos Narrow"/>
      <charset val="134"/>
      <scheme val="minor"/>
    </font>
    <font>
      <b/>
      <sz val="16"/>
      <color theme="1"/>
      <name val="Aptos Narrow"/>
      <charset val="134"/>
      <scheme val="minor"/>
    </font>
    <font>
      <b/>
      <sz val="11"/>
      <color theme="0"/>
      <name val="Aptos Narrow"/>
      <charset val="134"/>
      <scheme val="minor"/>
    </font>
    <font>
      <b/>
      <sz val="14"/>
      <name val="Aptos Narrow"/>
      <charset val="134"/>
      <scheme val="minor"/>
    </font>
    <font>
      <b/>
      <sz val="12"/>
      <name val="Aptos Narrow"/>
      <charset val="134"/>
      <scheme val="minor"/>
    </font>
    <font>
      <sz val="12"/>
      <name val="Aptos Narrow"/>
      <charset val="134"/>
      <scheme val="minor"/>
    </font>
    <font>
      <b/>
      <sz val="12"/>
      <color theme="1"/>
      <name val="Aptos Narrow"/>
      <charset val="134"/>
      <scheme val="minor"/>
    </font>
    <font>
      <b/>
      <sz val="11"/>
      <color theme="1"/>
      <name val="Aptos Narrow"/>
      <charset val="134"/>
      <scheme val="minor"/>
    </font>
    <font>
      <b/>
      <i/>
      <sz val="8"/>
      <color rgb="FFFF0000"/>
      <name val="Aptos Narrow"/>
      <charset val="134"/>
      <scheme val="minor"/>
    </font>
    <font>
      <b/>
      <sz val="13"/>
      <color theme="0"/>
      <name val="Aptos Narrow"/>
      <charset val="134"/>
      <scheme val="minor"/>
    </font>
    <font>
      <sz val="12"/>
      <color theme="0"/>
      <name val="Aptos Narrow"/>
      <charset val="134"/>
      <scheme val="minor"/>
    </font>
    <font>
      <b/>
      <sz val="10"/>
      <name val="Aptos Narrow"/>
      <charset val="134"/>
      <scheme val="minor"/>
    </font>
    <font>
      <sz val="11"/>
      <color rgb="FF000000"/>
      <name val="Calibri"/>
      <charset val="134"/>
    </font>
    <font>
      <sz val="12"/>
      <color theme="1"/>
      <name val="Aptos Narrow"/>
      <charset val="134"/>
      <scheme val="minor"/>
    </font>
    <font>
      <sz val="11"/>
      <color theme="0"/>
      <name val="Aptos Narrow"/>
      <charset val="134"/>
      <scheme val="minor"/>
    </font>
    <font>
      <b/>
      <sz val="10"/>
      <color theme="0"/>
      <name val="Aptos Narrow"/>
      <charset val="134"/>
      <scheme val="minor"/>
    </font>
    <font>
      <b/>
      <sz val="14"/>
      <color theme="0"/>
      <name val="Aptos Narrow"/>
      <charset val="134"/>
      <scheme val="minor"/>
    </font>
    <font>
      <b/>
      <sz val="16"/>
      <name val="Aptos Narrow"/>
      <charset val="134"/>
      <scheme val="minor"/>
    </font>
    <font>
      <b/>
      <sz val="22"/>
      <color indexed="8"/>
      <name val="Aptos Narrow"/>
      <charset val="134"/>
      <scheme val="minor"/>
    </font>
    <font>
      <b/>
      <i/>
      <sz val="12"/>
      <color rgb="FFFF0000"/>
      <name val="Aptos Narrow"/>
      <charset val="134"/>
      <scheme val="minor"/>
    </font>
    <font>
      <sz val="22"/>
      <color theme="1"/>
      <name val="Aptos Narrow"/>
      <charset val="134"/>
      <scheme val="minor"/>
    </font>
    <font>
      <b/>
      <sz val="20"/>
      <name val="Aptos Narrow"/>
      <charset val="134"/>
      <scheme val="minor"/>
    </font>
    <font>
      <b/>
      <sz val="1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i/>
      <sz val="8"/>
      <color theme="9"/>
      <name val="Aptos Narrow"/>
      <charset val="134"/>
      <scheme val="minor"/>
    </font>
    <font>
      <i/>
      <sz val="8"/>
      <color rgb="FFC00000"/>
      <name val="Aptos Narrow"/>
      <charset val="134"/>
      <scheme val="minor"/>
    </font>
    <font>
      <sz val="12"/>
      <color theme="1"/>
      <name val="Poppins"/>
      <charset val="134"/>
    </font>
    <font>
      <b/>
      <sz val="11"/>
      <color rgb="FFFFFF00"/>
      <name val="Aptos Narrow"/>
      <charset val="134"/>
      <scheme val="minor"/>
    </font>
    <font>
      <sz val="12"/>
      <color rgb="FFC00000"/>
      <name val="Aptos Narrow"/>
      <charset val="134"/>
      <scheme val="minor"/>
    </font>
    <font>
      <b/>
      <sz val="12"/>
      <color rgb="FFC00000"/>
      <name val="Poppins"/>
      <charset val="134"/>
    </font>
    <font>
      <i/>
      <sz val="8"/>
      <color rgb="FFFF0000"/>
      <name val="Aptos Narrow"/>
      <charset val="134"/>
      <scheme val="minor"/>
    </font>
    <font>
      <b/>
      <sz val="10"/>
      <color rgb="FFFFFDB3"/>
      <name val="Poppins"/>
      <charset val="134"/>
    </font>
    <font>
      <b/>
      <sz val="10"/>
      <color theme="1"/>
      <name val="Poppins"/>
      <charset val="134"/>
    </font>
    <font>
      <b/>
      <sz val="10"/>
      <color rgb="FFFF0000"/>
      <name val="Poppins"/>
      <charset val="134"/>
    </font>
    <font>
      <sz val="14"/>
      <name val="Tahoma"/>
      <charset val="134"/>
    </font>
    <font>
      <sz val="10"/>
      <name val="SimSun"/>
      <charset val="134"/>
    </font>
    <font>
      <sz val="9"/>
      <name val="Tahoma"/>
      <charset val="134"/>
    </font>
    <font>
      <b/>
      <sz val="14"/>
      <name val="Tahoma"/>
      <charset val="134"/>
    </font>
    <font>
      <b/>
      <sz val="9"/>
      <name val="Tahoma"/>
      <charset val="134"/>
    </font>
  </fonts>
  <fills count="57">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8" tint="-0.249977111117893"/>
        <bgColor indexed="64"/>
      </patternFill>
    </fill>
    <fill>
      <patternFill patternType="solid">
        <fgColor theme="8" tint="0.799981688894314"/>
        <bgColor indexed="64"/>
      </patternFill>
    </fill>
    <fill>
      <patternFill patternType="solid">
        <fgColor theme="0" tint="-0.149998474074526"/>
        <bgColor indexed="64"/>
      </patternFill>
    </fill>
    <fill>
      <patternFill patternType="solid">
        <fgColor theme="0" tint="-0.0499893185216834"/>
        <bgColor indexed="64"/>
      </patternFill>
    </fill>
    <fill>
      <patternFill patternType="solid">
        <fgColor theme="0" tint="-0.14996795556505"/>
        <bgColor indexed="64"/>
      </patternFill>
    </fill>
    <fill>
      <patternFill patternType="solid">
        <fgColor rgb="FFFF0000"/>
        <bgColor indexed="64"/>
      </patternFill>
    </fill>
    <fill>
      <patternFill patternType="solid">
        <fgColor theme="2" tint="-0.899990844447157"/>
        <bgColor indexed="64"/>
      </patternFill>
    </fill>
    <fill>
      <patternFill patternType="solid">
        <fgColor rgb="FFFCFDE3"/>
        <bgColor indexed="64"/>
      </patternFill>
    </fill>
    <fill>
      <patternFill patternType="solid">
        <fgColor rgb="FFC00000"/>
        <bgColor indexed="64"/>
      </patternFill>
    </fill>
    <fill>
      <patternFill patternType="solid">
        <fgColor rgb="FFFFFF00"/>
        <bgColor indexed="64"/>
      </patternFill>
    </fill>
    <fill>
      <patternFill patternType="solid">
        <fgColor rgb="FFEFEFBF"/>
        <bgColor indexed="64"/>
      </patternFill>
    </fill>
    <fill>
      <patternFill patternType="solid">
        <fgColor theme="2" tint="-0.149998474074526"/>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51170384838"/>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217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2">
    <border>
      <left/>
      <right/>
      <top/>
      <bottom/>
      <diagonal/>
    </border>
    <border>
      <left style="thin">
        <color auto="1"/>
      </left>
      <right style="thin">
        <color auto="1"/>
      </right>
      <top style="thin">
        <color auto="1"/>
      </top>
      <bottom style="thin">
        <color auto="1"/>
      </bottom>
      <diagonal/>
    </border>
    <border>
      <left/>
      <right/>
      <top/>
      <bottom style="medium">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style="medium">
        <color rgb="FFC0453C"/>
      </left>
      <right style="medium">
        <color rgb="FFC0453C"/>
      </right>
      <top style="medium">
        <color rgb="FFC0453C"/>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6"/>
      </bottom>
      <diagonal/>
    </border>
    <border>
      <left style="thin">
        <color auto="1"/>
      </left>
      <right style="medium">
        <color auto="1"/>
      </right>
      <top style="medium">
        <color auto="1"/>
      </top>
      <bottom style="thin">
        <color theme="0" tint="-0.349986266670736"/>
      </bottom>
      <diagonal/>
    </border>
    <border>
      <left style="thin">
        <color auto="1"/>
      </left>
      <right style="medium">
        <color auto="1"/>
      </right>
      <top style="thin">
        <color theme="0" tint="-0.349986266670736"/>
      </top>
      <bottom style="thin">
        <color theme="0" tint="-0.349986266670736"/>
      </bottom>
      <diagonal/>
    </border>
    <border>
      <left style="thin">
        <color auto="1"/>
      </left>
      <right style="medium">
        <color auto="1"/>
      </right>
      <top style="thin">
        <color theme="0" tint="-0.349986266670736"/>
      </top>
      <bottom/>
      <diagonal/>
    </border>
    <border>
      <left style="medium">
        <color auto="1"/>
      </left>
      <right style="medium">
        <color auto="1"/>
      </right>
      <top/>
      <bottom style="medium">
        <color rgb="FFC0453C"/>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3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0" fillId="26" borderId="94" applyNumberFormat="0" applyFont="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95" applyNumberFormat="0" applyFill="0" applyAlignment="0" applyProtection="0">
      <alignment vertical="center"/>
    </xf>
    <xf numFmtId="0" fontId="62" fillId="0" borderId="95" applyNumberFormat="0" applyFill="0" applyAlignment="0" applyProtection="0">
      <alignment vertical="center"/>
    </xf>
    <xf numFmtId="0" fontId="63" fillId="0" borderId="96" applyNumberFormat="0" applyFill="0" applyAlignment="0" applyProtection="0">
      <alignment vertical="center"/>
    </xf>
    <xf numFmtId="0" fontId="63" fillId="0" borderId="0" applyNumberFormat="0" applyFill="0" applyBorder="0" applyAlignment="0" applyProtection="0">
      <alignment vertical="center"/>
    </xf>
    <xf numFmtId="0" fontId="64" fillId="27" borderId="97" applyNumberFormat="0" applyAlignment="0" applyProtection="0">
      <alignment vertical="center"/>
    </xf>
    <xf numFmtId="0" fontId="65" fillId="28" borderId="98" applyNumberFormat="0" applyAlignment="0" applyProtection="0">
      <alignment vertical="center"/>
    </xf>
    <xf numFmtId="0" fontId="66" fillId="28" borderId="97" applyNumberFormat="0" applyAlignment="0" applyProtection="0">
      <alignment vertical="center"/>
    </xf>
    <xf numFmtId="0" fontId="67" fillId="29" borderId="99" applyNumberFormat="0" applyAlignment="0" applyProtection="0">
      <alignment vertical="center"/>
    </xf>
    <xf numFmtId="0" fontId="68" fillId="0" borderId="100" applyNumberFormat="0" applyFill="0" applyAlignment="0" applyProtection="0">
      <alignment vertical="center"/>
    </xf>
    <xf numFmtId="0" fontId="69" fillId="0" borderId="101" applyNumberFormat="0" applyFill="0" applyAlignment="0" applyProtection="0">
      <alignment vertical="center"/>
    </xf>
    <xf numFmtId="0" fontId="70" fillId="30" borderId="0" applyNumberFormat="0" applyBorder="0" applyAlignment="0" applyProtection="0">
      <alignment vertical="center"/>
    </xf>
    <xf numFmtId="0" fontId="71" fillId="31" borderId="0" applyNumberFormat="0" applyBorder="0" applyAlignment="0" applyProtection="0">
      <alignment vertical="center"/>
    </xf>
    <xf numFmtId="0" fontId="72" fillId="32" borderId="0" applyNumberFormat="0" applyBorder="0" applyAlignment="0" applyProtection="0">
      <alignment vertical="center"/>
    </xf>
    <xf numFmtId="0" fontId="73" fillId="33" borderId="0" applyNumberFormat="0" applyBorder="0" applyAlignment="0" applyProtection="0">
      <alignment vertical="center"/>
    </xf>
    <xf numFmtId="0" fontId="74" fillId="34" borderId="0" applyNumberFormat="0" applyBorder="0" applyAlignment="0" applyProtection="0">
      <alignment vertical="center"/>
    </xf>
    <xf numFmtId="0" fontId="74" fillId="35" borderId="0" applyNumberFormat="0" applyBorder="0" applyAlignment="0" applyProtection="0">
      <alignment vertical="center"/>
    </xf>
    <xf numFmtId="0" fontId="73" fillId="36" borderId="0" applyNumberFormat="0" applyBorder="0" applyAlignment="0" applyProtection="0">
      <alignment vertical="center"/>
    </xf>
    <xf numFmtId="0" fontId="73" fillId="37" borderId="0" applyNumberFormat="0" applyBorder="0" applyAlignment="0" applyProtection="0">
      <alignment vertical="center"/>
    </xf>
    <xf numFmtId="0" fontId="74" fillId="38" borderId="0" applyNumberFormat="0" applyBorder="0" applyAlignment="0" applyProtection="0">
      <alignment vertical="center"/>
    </xf>
    <xf numFmtId="0" fontId="74" fillId="39" borderId="0" applyNumberFormat="0" applyBorder="0" applyAlignment="0" applyProtection="0">
      <alignment vertical="center"/>
    </xf>
    <xf numFmtId="0" fontId="73" fillId="40" borderId="0" applyNumberFormat="0" applyBorder="0" applyAlignment="0" applyProtection="0">
      <alignment vertical="center"/>
    </xf>
    <xf numFmtId="0" fontId="73" fillId="41" borderId="0" applyNumberFormat="0" applyBorder="0" applyAlignment="0" applyProtection="0">
      <alignment vertical="center"/>
    </xf>
    <xf numFmtId="0" fontId="74" fillId="42" borderId="0" applyNumberFormat="0" applyBorder="0" applyAlignment="0" applyProtection="0">
      <alignment vertical="center"/>
    </xf>
    <xf numFmtId="0" fontId="74" fillId="43" borderId="0" applyNumberFormat="0" applyBorder="0" applyAlignment="0" applyProtection="0">
      <alignment vertical="center"/>
    </xf>
    <xf numFmtId="0" fontId="73" fillId="44" borderId="0" applyNumberFormat="0" applyBorder="0" applyAlignment="0" applyProtection="0">
      <alignment vertical="center"/>
    </xf>
    <xf numFmtId="0" fontId="73" fillId="45" borderId="0" applyNumberFormat="0" applyBorder="0" applyAlignment="0" applyProtection="0">
      <alignment vertical="center"/>
    </xf>
    <xf numFmtId="0" fontId="74" fillId="46" borderId="0" applyNumberFormat="0" applyBorder="0" applyAlignment="0" applyProtection="0">
      <alignment vertical="center"/>
    </xf>
    <xf numFmtId="0" fontId="74" fillId="47" borderId="0" applyNumberFormat="0" applyBorder="0" applyAlignment="0" applyProtection="0">
      <alignment vertical="center"/>
    </xf>
    <xf numFmtId="0" fontId="73" fillId="48" borderId="0" applyNumberFormat="0" applyBorder="0" applyAlignment="0" applyProtection="0">
      <alignment vertical="center"/>
    </xf>
    <xf numFmtId="0" fontId="73" fillId="49" borderId="0" applyNumberFormat="0" applyBorder="0" applyAlignment="0" applyProtection="0">
      <alignment vertical="center"/>
    </xf>
    <xf numFmtId="0" fontId="74" fillId="50" borderId="0" applyNumberFormat="0" applyBorder="0" applyAlignment="0" applyProtection="0">
      <alignment vertical="center"/>
    </xf>
    <xf numFmtId="0" fontId="74" fillId="51" borderId="0" applyNumberFormat="0" applyBorder="0" applyAlignment="0" applyProtection="0">
      <alignment vertical="center"/>
    </xf>
    <xf numFmtId="0" fontId="73" fillId="52" borderId="0" applyNumberFormat="0" applyBorder="0" applyAlignment="0" applyProtection="0">
      <alignment vertical="center"/>
    </xf>
    <xf numFmtId="0" fontId="73" fillId="53" borderId="0" applyNumberFormat="0" applyBorder="0" applyAlignment="0" applyProtection="0">
      <alignment vertical="center"/>
    </xf>
    <xf numFmtId="0" fontId="74" fillId="54" borderId="0" applyNumberFormat="0" applyBorder="0" applyAlignment="0" applyProtection="0">
      <alignment vertical="center"/>
    </xf>
    <xf numFmtId="0" fontId="74" fillId="55" borderId="0" applyNumberFormat="0" applyBorder="0" applyAlignment="0" applyProtection="0">
      <alignment vertical="center"/>
    </xf>
    <xf numFmtId="0" fontId="73" fillId="56" borderId="0" applyNumberFormat="0" applyBorder="0" applyAlignment="0" applyProtection="0">
      <alignment vertical="center"/>
    </xf>
    <xf numFmtId="0" fontId="30" fillId="0" borderId="0"/>
    <xf numFmtId="9" fontId="30" fillId="0" borderId="0" applyFont="0" applyFill="0" applyBorder="0" applyAlignment="0" applyProtection="0"/>
  </cellStyleXfs>
  <cellXfs count="514">
    <xf numFmtId="0" fontId="0" fillId="0" borderId="0" xfId="0"/>
    <xf numFmtId="0" fontId="1" fillId="0" borderId="0" xfId="49" applyFont="1"/>
    <xf numFmtId="0" fontId="2" fillId="0" borderId="0" xfId="49" applyFont="1"/>
    <xf numFmtId="0" fontId="2" fillId="2" borderId="0" xfId="49" applyFont="1" applyFill="1"/>
    <xf numFmtId="0" fontId="3" fillId="0" borderId="0" xfId="49" applyFont="1" applyAlignment="1">
      <alignment horizontal="center"/>
    </xf>
    <xf numFmtId="0" fontId="3" fillId="0" borderId="0" xfId="49" applyFont="1"/>
    <xf numFmtId="0" fontId="3" fillId="3" borderId="0" xfId="49" applyFont="1" applyFill="1"/>
    <xf numFmtId="0" fontId="3" fillId="0" borderId="1" xfId="49" applyFont="1" applyBorder="1" applyAlignment="1">
      <alignment horizontal="center"/>
    </xf>
    <xf numFmtId="0" fontId="4" fillId="4" borderId="1" xfId="49" applyFont="1" applyFill="1" applyBorder="1" applyAlignment="1">
      <alignment horizontal="center" vertical="center" wrapText="1"/>
    </xf>
    <xf numFmtId="0" fontId="3" fillId="4" borderId="0" xfId="49" applyFont="1" applyFill="1"/>
    <xf numFmtId="0" fontId="3" fillId="4" borderId="1" xfId="49" applyFont="1" applyFill="1" applyBorder="1"/>
    <xf numFmtId="0" fontId="5" fillId="0" borderId="1" xfId="49" applyFont="1" applyBorder="1" applyAlignment="1">
      <alignment horizontal="center" vertical="center" wrapText="1"/>
    </xf>
    <xf numFmtId="0" fontId="6" fillId="0" borderId="1" xfId="49" applyFont="1" applyBorder="1" applyAlignment="1">
      <alignment vertical="center" wrapText="1"/>
    </xf>
    <xf numFmtId="17" fontId="7" fillId="5" borderId="1" xfId="49" applyNumberFormat="1" applyFont="1" applyFill="1" applyBorder="1" applyAlignment="1">
      <alignment horizontal="center" vertical="center" wrapText="1"/>
    </xf>
    <xf numFmtId="0" fontId="8" fillId="4" borderId="1" xfId="49" applyFont="1" applyFill="1" applyBorder="1" applyAlignment="1">
      <alignment horizontal="center" vertical="center" wrapText="1"/>
    </xf>
    <xf numFmtId="0" fontId="1" fillId="3" borderId="0" xfId="49" applyFont="1" applyFill="1" applyAlignment="1">
      <alignment horizontal="center" vertical="center"/>
    </xf>
    <xf numFmtId="0" fontId="5" fillId="0" borderId="1" xfId="49" applyFont="1" applyBorder="1" applyAlignment="1">
      <alignment vertical="center" wrapText="1"/>
    </xf>
    <xf numFmtId="0" fontId="9" fillId="0" borderId="1" xfId="49" applyFont="1" applyBorder="1" applyAlignment="1">
      <alignment horizontal="center" vertical="center" wrapText="1"/>
    </xf>
    <xf numFmtId="0" fontId="10" fillId="0" borderId="1" xfId="49" applyFont="1" applyBorder="1" applyAlignment="1">
      <alignment vertical="center" wrapText="1"/>
    </xf>
    <xf numFmtId="0" fontId="2" fillId="0" borderId="1" xfId="49" applyFont="1" applyBorder="1" applyAlignment="1">
      <alignment horizontal="center" vertical="center" wrapText="1"/>
    </xf>
    <xf numFmtId="0" fontId="1" fillId="0" borderId="1" xfId="49" applyFont="1" applyBorder="1" applyAlignment="1">
      <alignment horizontal="center" vertical="center" wrapText="1"/>
    </xf>
    <xf numFmtId="0" fontId="2" fillId="3" borderId="0" xfId="49" applyFont="1" applyFill="1"/>
    <xf numFmtId="0" fontId="10" fillId="6" borderId="1" xfId="49" applyFont="1" applyFill="1" applyBorder="1" applyAlignment="1">
      <alignment vertical="center" wrapText="1"/>
    </xf>
    <xf numFmtId="0" fontId="11" fillId="2" borderId="1" xfId="49" applyFont="1" applyFill="1" applyBorder="1" applyAlignment="1">
      <alignment vertical="center" wrapText="1"/>
    </xf>
    <xf numFmtId="0" fontId="12" fillId="0" borderId="1" xfId="49" applyFont="1" applyBorder="1" applyAlignment="1">
      <alignment vertical="center" wrapText="1"/>
    </xf>
    <xf numFmtId="0" fontId="1" fillId="3" borderId="0" xfId="49" applyFont="1" applyFill="1"/>
    <xf numFmtId="0" fontId="5" fillId="5" borderId="1" xfId="49" applyFont="1" applyFill="1" applyBorder="1" applyAlignment="1">
      <alignment vertical="center" wrapText="1"/>
    </xf>
    <xf numFmtId="0" fontId="10" fillId="7" borderId="1" xfId="49" applyFont="1" applyFill="1" applyBorder="1" applyAlignment="1">
      <alignment vertical="center" wrapText="1"/>
    </xf>
    <xf numFmtId="0" fontId="10" fillId="5" borderId="1" xfId="49" applyFont="1" applyFill="1" applyBorder="1" applyAlignment="1">
      <alignment vertical="center" wrapText="1"/>
    </xf>
    <xf numFmtId="0" fontId="9" fillId="5" borderId="1" xfId="49" applyFont="1" applyFill="1" applyBorder="1" applyAlignment="1">
      <alignment horizontal="center" vertical="center" wrapText="1"/>
    </xf>
    <xf numFmtId="0" fontId="13" fillId="5" borderId="1" xfId="49" applyFont="1" applyFill="1" applyBorder="1" applyAlignment="1">
      <alignment vertical="center" wrapText="1"/>
    </xf>
    <xf numFmtId="0" fontId="2" fillId="5" borderId="1" xfId="49" applyFont="1" applyFill="1" applyBorder="1" applyAlignment="1">
      <alignment horizontal="center" vertical="center" wrapText="1"/>
    </xf>
    <xf numFmtId="0" fontId="1" fillId="5" borderId="1" xfId="49" applyFont="1" applyFill="1" applyBorder="1" applyAlignment="1">
      <alignment horizontal="center" vertical="center" wrapText="1"/>
    </xf>
    <xf numFmtId="0" fontId="14" fillId="2" borderId="1" xfId="49" applyFont="1" applyFill="1" applyBorder="1" applyAlignment="1">
      <alignment horizontal="center" vertical="center" wrapText="1"/>
    </xf>
    <xf numFmtId="0" fontId="11" fillId="5" borderId="1" xfId="49" applyFont="1" applyFill="1" applyBorder="1" applyAlignment="1">
      <alignment horizontal="center" vertical="center" wrapText="1"/>
    </xf>
    <xf numFmtId="0" fontId="1" fillId="8" borderId="1" xfId="49" applyFont="1" applyFill="1" applyBorder="1" applyAlignment="1">
      <alignment horizontal="center" vertical="center" wrapText="1"/>
    </xf>
    <xf numFmtId="0" fontId="10" fillId="5" borderId="1" xfId="49" applyFont="1" applyFill="1" applyBorder="1" applyAlignment="1">
      <alignment horizontal="center" vertical="center" wrapText="1"/>
    </xf>
    <xf numFmtId="0" fontId="15" fillId="0" borderId="1" xfId="49" applyFont="1" applyBorder="1" applyAlignment="1">
      <alignment horizontal="center" vertical="center" wrapText="1"/>
    </xf>
    <xf numFmtId="0" fontId="3" fillId="3" borderId="2" xfId="49" applyFont="1" applyFill="1" applyBorder="1" applyAlignment="1">
      <alignment horizontal="center" vertical="center" wrapText="1"/>
    </xf>
    <xf numFmtId="0" fontId="1" fillId="0" borderId="0" xfId="49" applyFont="1" applyAlignment="1">
      <alignment horizontal="center" vertical="center"/>
    </xf>
    <xf numFmtId="0" fontId="16" fillId="0" borderId="0" xfId="49" applyFont="1" applyAlignment="1">
      <alignment vertical="center"/>
    </xf>
    <xf numFmtId="0" fontId="16" fillId="0" borderId="0" xfId="49" applyFont="1"/>
    <xf numFmtId="0" fontId="16" fillId="0" borderId="0" xfId="49" applyFont="1" applyAlignment="1">
      <alignment wrapText="1"/>
    </xf>
    <xf numFmtId="0" fontId="17" fillId="0" borderId="0" xfId="49" applyFont="1" applyAlignment="1">
      <alignment wrapText="1"/>
    </xf>
    <xf numFmtId="0" fontId="18" fillId="0" borderId="0" xfId="49" applyFont="1" applyAlignment="1">
      <alignment horizontal="center"/>
    </xf>
    <xf numFmtId="0" fontId="18" fillId="0" borderId="0" xfId="49" applyFont="1"/>
    <xf numFmtId="0" fontId="19" fillId="0" borderId="3" xfId="49" applyFont="1" applyBorder="1" applyAlignment="1">
      <alignment horizontal="center" vertical="center"/>
    </xf>
    <xf numFmtId="0" fontId="19" fillId="0" borderId="4" xfId="49" applyFont="1" applyBorder="1" applyAlignment="1">
      <alignment horizontal="center" vertical="center"/>
    </xf>
    <xf numFmtId="0" fontId="20" fillId="0" borderId="5" xfId="49" applyFont="1" applyBorder="1" applyAlignment="1">
      <alignment horizontal="right" wrapText="1"/>
    </xf>
    <xf numFmtId="0" fontId="18" fillId="0" borderId="6" xfId="49" applyFont="1" applyBorder="1" applyAlignment="1">
      <alignment horizontal="center"/>
    </xf>
    <xf numFmtId="0" fontId="18" fillId="0" borderId="7" xfId="49" applyFont="1" applyBorder="1" applyAlignment="1">
      <alignment horizontal="center"/>
    </xf>
    <xf numFmtId="0" fontId="18" fillId="0" borderId="8" xfId="49" applyFont="1" applyBorder="1" applyAlignment="1">
      <alignment horizontal="center"/>
    </xf>
    <xf numFmtId="0" fontId="21" fillId="4" borderId="9" xfId="49" applyFont="1" applyFill="1" applyBorder="1" applyAlignment="1">
      <alignment horizontal="center" vertical="center" wrapText="1"/>
    </xf>
    <xf numFmtId="0" fontId="22" fillId="4" borderId="10" xfId="49" applyFont="1" applyFill="1" applyBorder="1" applyAlignment="1">
      <alignment horizontal="center" vertical="center" wrapText="1"/>
    </xf>
    <xf numFmtId="0" fontId="23" fillId="4" borderId="10" xfId="49" applyFont="1" applyFill="1" applyBorder="1" applyAlignment="1">
      <alignment horizontal="center" vertical="center" wrapText="1"/>
    </xf>
    <xf numFmtId="0" fontId="23" fillId="5" borderId="10" xfId="49" applyFont="1" applyFill="1" applyBorder="1" applyAlignment="1">
      <alignment horizontal="center" vertical="center" wrapText="1"/>
    </xf>
    <xf numFmtId="0" fontId="24" fillId="5" borderId="3" xfId="49" applyFont="1" applyFill="1" applyBorder="1" applyAlignment="1">
      <alignment horizontal="center" vertical="center" wrapText="1"/>
    </xf>
    <xf numFmtId="0" fontId="25" fillId="0" borderId="4" xfId="49" applyFont="1" applyBorder="1" applyAlignment="1">
      <alignment horizontal="center" vertical="center" wrapText="1"/>
    </xf>
    <xf numFmtId="0" fontId="0" fillId="0" borderId="1" xfId="0" applyBorder="1" applyAlignment="1">
      <alignment horizontal="center" vertical="center"/>
    </xf>
    <xf numFmtId="0" fontId="24" fillId="5" borderId="5" xfId="49" applyFont="1" applyFill="1" applyBorder="1" applyAlignment="1">
      <alignment horizontal="center" vertical="center" wrapText="1"/>
    </xf>
    <xf numFmtId="0" fontId="25" fillId="0" borderId="1" xfId="49" applyFont="1" applyBorder="1" applyAlignment="1">
      <alignment horizontal="center" vertical="center" wrapText="1"/>
    </xf>
    <xf numFmtId="0" fontId="24" fillId="5" borderId="11" xfId="49" applyFont="1" applyFill="1" applyBorder="1" applyAlignment="1">
      <alignment horizontal="center" vertical="center" wrapText="1"/>
    </xf>
    <xf numFmtId="0" fontId="25" fillId="0" borderId="12" xfId="49" applyFont="1" applyBorder="1" applyAlignment="1">
      <alignment horizontal="center" vertical="center" wrapText="1"/>
    </xf>
    <xf numFmtId="0" fontId="25" fillId="0" borderId="13" xfId="49" applyFont="1" applyBorder="1" applyAlignment="1">
      <alignment horizontal="center" vertical="center" wrapText="1"/>
    </xf>
    <xf numFmtId="0" fontId="18" fillId="0" borderId="13" xfId="49" applyFont="1" applyBorder="1"/>
    <xf numFmtId="0" fontId="18" fillId="0" borderId="1" xfId="49" applyFont="1" applyBorder="1"/>
    <xf numFmtId="0" fontId="18" fillId="0" borderId="12" xfId="49" applyFont="1" applyBorder="1"/>
    <xf numFmtId="0" fontId="18" fillId="2" borderId="12" xfId="49" applyFont="1" applyFill="1" applyBorder="1"/>
    <xf numFmtId="0" fontId="18" fillId="9" borderId="12" xfId="49" applyFont="1" applyFill="1" applyBorder="1"/>
    <xf numFmtId="0" fontId="18" fillId="10" borderId="13" xfId="49" applyFont="1" applyFill="1" applyBorder="1" applyAlignment="1">
      <alignment horizontal="center"/>
    </xf>
    <xf numFmtId="0" fontId="18" fillId="10" borderId="1" xfId="49" applyFont="1" applyFill="1" applyBorder="1" applyAlignment="1">
      <alignment horizontal="center"/>
    </xf>
    <xf numFmtId="0" fontId="18" fillId="10" borderId="12" xfId="49" applyFont="1" applyFill="1" applyBorder="1" applyAlignment="1">
      <alignment horizontal="center"/>
    </xf>
    <xf numFmtId="0" fontId="24" fillId="11" borderId="14" xfId="49" applyFont="1" applyFill="1" applyBorder="1" applyAlignment="1">
      <alignment horizontal="center" vertical="center" wrapText="1"/>
    </xf>
    <xf numFmtId="0" fontId="24" fillId="11" borderId="15" xfId="49" applyFont="1" applyFill="1" applyBorder="1" applyAlignment="1">
      <alignment horizontal="center" vertical="center" wrapText="1"/>
    </xf>
    <xf numFmtId="0" fontId="24" fillId="11" borderId="16" xfId="49" applyFont="1" applyFill="1" applyBorder="1" applyAlignment="1">
      <alignment horizontal="center" vertical="center" wrapText="1"/>
    </xf>
    <xf numFmtId="0" fontId="18" fillId="0" borderId="13" xfId="49" applyFont="1" applyBorder="1" applyAlignment="1">
      <alignment horizontal="center"/>
    </xf>
    <xf numFmtId="0" fontId="18" fillId="0" borderId="1" xfId="49" applyFont="1" applyBorder="1" applyAlignment="1">
      <alignment horizontal="center"/>
    </xf>
    <xf numFmtId="0" fontId="18" fillId="0" borderId="12" xfId="49" applyFont="1" applyBorder="1" applyAlignment="1">
      <alignment horizontal="center"/>
    </xf>
    <xf numFmtId="0" fontId="18" fillId="12" borderId="1" xfId="49" applyFont="1" applyFill="1" applyBorder="1"/>
    <xf numFmtId="0" fontId="18" fillId="13" borderId="13" xfId="49" applyFont="1" applyFill="1" applyBorder="1"/>
    <xf numFmtId="0" fontId="18" fillId="2" borderId="12" xfId="49" applyFont="1" applyFill="1" applyBorder="1" applyAlignment="1">
      <alignment horizontal="center"/>
    </xf>
    <xf numFmtId="0" fontId="18" fillId="0" borderId="4" xfId="49" applyFont="1" applyBorder="1"/>
    <xf numFmtId="0" fontId="18" fillId="10" borderId="4" xfId="49" applyFont="1" applyFill="1" applyBorder="1" applyAlignment="1">
      <alignment horizontal="center"/>
    </xf>
    <xf numFmtId="0" fontId="15" fillId="14"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26" fillId="3" borderId="1" xfId="0" applyFont="1" applyFill="1" applyBorder="1" applyAlignment="1">
      <alignment horizontal="center"/>
    </xf>
    <xf numFmtId="0" fontId="18" fillId="0" borderId="4" xfId="49" applyFont="1" applyBorder="1" applyAlignment="1">
      <alignment horizontal="center"/>
    </xf>
    <xf numFmtId="0" fontId="26" fillId="0" borderId="1" xfId="0" applyFont="1" applyBorder="1" applyAlignment="1">
      <alignment horizontal="center"/>
    </xf>
    <xf numFmtId="0" fontId="26" fillId="3" borderId="10" xfId="0" applyFont="1" applyFill="1" applyBorder="1" applyAlignment="1">
      <alignment horizontal="center"/>
    </xf>
    <xf numFmtId="0" fontId="26" fillId="3" borderId="4" xfId="0" applyFont="1" applyFill="1" applyBorder="1" applyAlignment="1">
      <alignment horizontal="center"/>
    </xf>
    <xf numFmtId="0" fontId="26" fillId="3" borderId="12" xfId="0" applyFont="1" applyFill="1" applyBorder="1" applyAlignment="1">
      <alignment horizontal="center"/>
    </xf>
    <xf numFmtId="0" fontId="19" fillId="0" borderId="17" xfId="49" applyFont="1" applyBorder="1" applyAlignment="1">
      <alignment horizontal="center" vertical="center"/>
    </xf>
    <xf numFmtId="0" fontId="18" fillId="0" borderId="18" xfId="49" applyFont="1" applyBorder="1"/>
    <xf numFmtId="0" fontId="27" fillId="4" borderId="10" xfId="49" applyFont="1" applyFill="1" applyBorder="1" applyAlignment="1">
      <alignment horizontal="center" vertical="center" wrapText="1"/>
    </xf>
    <xf numFmtId="0" fontId="23" fillId="4" borderId="19" xfId="49" applyFont="1" applyFill="1" applyBorder="1" applyAlignment="1">
      <alignment horizontal="center" vertical="center" wrapText="1"/>
    </xf>
    <xf numFmtId="0" fontId="18" fillId="0" borderId="17" xfId="49" applyFont="1" applyBorder="1"/>
    <xf numFmtId="0" fontId="18" fillId="0" borderId="20" xfId="49" applyFont="1" applyBorder="1"/>
    <xf numFmtId="0" fontId="18" fillId="0" borderId="21" xfId="49" applyFont="1" applyBorder="1"/>
    <xf numFmtId="9" fontId="18" fillId="0" borderId="12" xfId="50" applyFont="1" applyBorder="1"/>
    <xf numFmtId="9" fontId="18" fillId="0" borderId="20" xfId="50" applyFont="1" applyBorder="1"/>
    <xf numFmtId="9" fontId="18" fillId="0" borderId="13" xfId="50" applyFont="1" applyBorder="1"/>
    <xf numFmtId="9" fontId="18" fillId="0" borderId="21" xfId="50" applyFont="1" applyBorder="1"/>
    <xf numFmtId="9" fontId="18" fillId="0" borderId="1" xfId="50" applyFont="1" applyBorder="1"/>
    <xf numFmtId="9" fontId="18" fillId="0" borderId="18" xfId="50" applyFont="1" applyBorder="1"/>
    <xf numFmtId="9" fontId="18" fillId="0" borderId="4" xfId="50" applyFont="1" applyBorder="1"/>
    <xf numFmtId="9" fontId="18" fillId="0" borderId="17" xfId="50" applyFont="1" applyBorder="1"/>
    <xf numFmtId="0" fontId="18" fillId="3" borderId="4" xfId="49" applyFont="1" applyFill="1" applyBorder="1" applyAlignment="1">
      <alignment horizontal="center"/>
    </xf>
    <xf numFmtId="0" fontId="18" fillId="3" borderId="1" xfId="49" applyFont="1" applyFill="1" applyBorder="1" applyAlignment="1">
      <alignment horizontal="center"/>
    </xf>
    <xf numFmtId="0" fontId="18" fillId="3" borderId="12" xfId="49" applyFont="1" applyFill="1" applyBorder="1" applyAlignment="1">
      <alignment horizontal="center"/>
    </xf>
    <xf numFmtId="0" fontId="18" fillId="3" borderId="13" xfId="49" applyFont="1" applyFill="1" applyBorder="1" applyAlignment="1">
      <alignment horizontal="center"/>
    </xf>
    <xf numFmtId="0" fontId="18" fillId="9" borderId="1" xfId="49" applyFont="1" applyFill="1" applyBorder="1" applyAlignment="1">
      <alignment horizontal="center"/>
    </xf>
    <xf numFmtId="0" fontId="18" fillId="12" borderId="1" xfId="49" applyFont="1" applyFill="1" applyBorder="1" applyAlignment="1">
      <alignment horizontal="center"/>
    </xf>
    <xf numFmtId="0" fontId="18" fillId="9" borderId="1" xfId="49" applyFont="1" applyFill="1" applyBorder="1"/>
    <xf numFmtId="0" fontId="28" fillId="9" borderId="12" xfId="49" applyFont="1" applyFill="1" applyBorder="1"/>
    <xf numFmtId="0" fontId="26" fillId="0" borderId="12" xfId="0" applyFont="1" applyBorder="1" applyAlignment="1">
      <alignment horizontal="center"/>
    </xf>
    <xf numFmtId="0" fontId="26" fillId="3" borderId="13" xfId="0" applyFont="1" applyFill="1" applyBorder="1" applyAlignment="1">
      <alignment horizontal="center"/>
    </xf>
    <xf numFmtId="0" fontId="26" fillId="0" borderId="13" xfId="0" applyFont="1" applyBorder="1" applyAlignment="1">
      <alignment horizontal="center"/>
    </xf>
    <xf numFmtId="0" fontId="25" fillId="0" borderId="22" xfId="49" applyFont="1" applyBorder="1" applyAlignment="1">
      <alignment horizontal="center" vertical="center" wrapText="1"/>
    </xf>
    <xf numFmtId="0" fontId="25" fillId="0" borderId="10" xfId="49" applyFont="1" applyBorder="1" applyAlignment="1">
      <alignment horizontal="center" vertical="center" wrapText="1"/>
    </xf>
    <xf numFmtId="0" fontId="25" fillId="0" borderId="23" xfId="49" applyFont="1" applyBorder="1" applyAlignment="1">
      <alignment horizontal="center" vertical="center" wrapText="1"/>
    </xf>
    <xf numFmtId="0" fontId="26" fillId="3" borderId="1" xfId="0" applyFont="1" applyFill="1" applyBorder="1"/>
    <xf numFmtId="0" fontId="25" fillId="0" borderId="24" xfId="49" applyFont="1" applyBorder="1" applyAlignment="1">
      <alignment horizontal="center" vertical="center" wrapText="1"/>
    </xf>
    <xf numFmtId="0" fontId="18" fillId="0" borderId="17" xfId="49" applyFont="1" applyBorder="1" applyAlignment="1">
      <alignment horizontal="center"/>
    </xf>
    <xf numFmtId="0" fontId="18" fillId="0" borderId="18" xfId="49" applyFont="1" applyBorder="1" applyAlignment="1">
      <alignment horizontal="center"/>
    </xf>
    <xf numFmtId="0" fontId="18" fillId="0" borderId="20" xfId="49" applyFont="1" applyBorder="1" applyAlignment="1">
      <alignment horizontal="center"/>
    </xf>
    <xf numFmtId="0" fontId="29" fillId="2" borderId="0" xfId="0" applyFont="1" applyFill="1" applyProtection="1">
      <protection locked="0"/>
    </xf>
    <xf numFmtId="0" fontId="30" fillId="2" borderId="0" xfId="0" applyFont="1" applyFill="1" applyAlignment="1" applyProtection="1">
      <alignment horizontal="center"/>
      <protection locked="0"/>
    </xf>
    <xf numFmtId="0" fontId="30" fillId="2" borderId="0" xfId="0" applyFont="1" applyFill="1" applyProtection="1">
      <protection locked="0"/>
    </xf>
    <xf numFmtId="0" fontId="30" fillId="2" borderId="0" xfId="0" applyFont="1" applyFill="1" applyAlignment="1" applyProtection="1">
      <alignment horizontal="center" wrapText="1"/>
      <protection locked="0"/>
    </xf>
    <xf numFmtId="0" fontId="29" fillId="16" borderId="0" xfId="0" applyFont="1" applyFill="1" applyProtection="1">
      <protection locked="0"/>
    </xf>
    <xf numFmtId="0" fontId="31" fillId="16" borderId="25" xfId="0" applyFont="1" applyFill="1" applyBorder="1" applyAlignment="1" applyProtection="1">
      <alignment vertical="center" wrapText="1"/>
      <protection locked="0"/>
    </xf>
    <xf numFmtId="0" fontId="32" fillId="16" borderId="26" xfId="0" applyFont="1" applyFill="1" applyBorder="1" applyAlignment="1" applyProtection="1">
      <alignment horizontal="center" vertical="center" wrapText="1"/>
      <protection locked="0"/>
    </xf>
    <xf numFmtId="0" fontId="30" fillId="16" borderId="0" xfId="0" applyFont="1" applyFill="1" applyProtection="1">
      <protection locked="0"/>
    </xf>
    <xf numFmtId="0" fontId="30" fillId="16" borderId="27" xfId="0" applyFont="1" applyFill="1" applyBorder="1" applyAlignment="1" applyProtection="1">
      <alignment horizontal="center" vertical="center"/>
      <protection locked="0"/>
    </xf>
    <xf numFmtId="0" fontId="33" fillId="0" borderId="28" xfId="0" applyFont="1" applyBorder="1" applyAlignment="1" applyProtection="1">
      <alignment horizontal="center" vertical="center" wrapText="1"/>
      <protection locked="0"/>
    </xf>
    <xf numFmtId="0" fontId="34" fillId="0" borderId="29" xfId="0" applyFont="1" applyBorder="1" applyAlignment="1" applyProtection="1">
      <alignment horizontal="center" vertical="center" wrapText="1"/>
      <protection locked="0"/>
    </xf>
    <xf numFmtId="0" fontId="34" fillId="0" borderId="0" xfId="0" applyFont="1" applyAlignment="1" applyProtection="1">
      <alignment horizontal="center" vertical="center" wrapText="1"/>
      <protection locked="0"/>
    </xf>
    <xf numFmtId="0" fontId="35" fillId="17" borderId="29" xfId="0" applyFont="1" applyFill="1" applyBorder="1" applyAlignment="1" applyProtection="1">
      <alignment horizontal="center" vertical="center" wrapText="1"/>
      <protection locked="0"/>
    </xf>
    <xf numFmtId="0" fontId="35" fillId="17" borderId="0" xfId="0" applyFont="1" applyFill="1" applyAlignment="1" applyProtection="1">
      <alignment horizontal="center" vertical="center" wrapText="1"/>
      <protection locked="0"/>
    </xf>
    <xf numFmtId="0" fontId="34" fillId="0" borderId="30" xfId="0" applyFont="1" applyBorder="1" applyAlignment="1" applyProtection="1">
      <alignment horizontal="center" vertical="center" wrapText="1"/>
      <protection locked="0"/>
    </xf>
    <xf numFmtId="0" fontId="34" fillId="0" borderId="31" xfId="0" applyFont="1" applyBorder="1" applyAlignment="1" applyProtection="1">
      <alignment horizontal="center" vertical="center" wrapText="1"/>
      <protection locked="0"/>
    </xf>
    <xf numFmtId="0" fontId="35" fillId="17" borderId="30" xfId="0" applyFont="1" applyFill="1" applyBorder="1" applyAlignment="1" applyProtection="1">
      <alignment horizontal="center" vertical="center" wrapText="1"/>
      <protection locked="0"/>
    </xf>
    <xf numFmtId="0" fontId="35" fillId="17" borderId="31" xfId="0" applyFont="1" applyFill="1" applyBorder="1" applyAlignment="1" applyProtection="1">
      <alignment horizontal="center" vertical="center" wrapText="1"/>
      <protection locked="0"/>
    </xf>
    <xf numFmtId="0" fontId="36" fillId="0" borderId="32" xfId="0" applyFont="1" applyBorder="1" applyAlignment="1" applyProtection="1">
      <alignment horizontal="center" vertical="center" wrapText="1"/>
      <protection locked="0"/>
    </xf>
    <xf numFmtId="0" fontId="37" fillId="18" borderId="14" xfId="0" applyFont="1" applyFill="1" applyBorder="1" applyAlignment="1" applyProtection="1">
      <alignment horizontal="center" vertical="center" textRotation="90" wrapText="1"/>
      <protection locked="0"/>
    </xf>
    <xf numFmtId="0" fontId="37" fillId="18" borderId="22" xfId="0" applyFont="1" applyFill="1" applyBorder="1" applyAlignment="1" applyProtection="1">
      <alignment horizontal="center" vertical="center" textRotation="90" wrapText="1"/>
      <protection locked="0"/>
    </xf>
    <xf numFmtId="0" fontId="37" fillId="18" borderId="33" xfId="0" applyFont="1" applyFill="1" applyBorder="1" applyAlignment="1" applyProtection="1">
      <alignment horizontal="center" vertical="center" textRotation="90" wrapText="1"/>
      <protection locked="0"/>
    </xf>
    <xf numFmtId="0" fontId="36" fillId="0" borderId="27" xfId="0" applyFont="1" applyBorder="1" applyAlignment="1" applyProtection="1">
      <alignment horizontal="center" vertical="center" wrapText="1"/>
      <protection locked="0"/>
    </xf>
    <xf numFmtId="0" fontId="37" fillId="18" borderId="15" xfId="0" applyFont="1" applyFill="1" applyBorder="1" applyAlignment="1" applyProtection="1">
      <alignment horizontal="center" vertical="center" textRotation="90" wrapText="1"/>
      <protection locked="0"/>
    </xf>
    <xf numFmtId="0" fontId="37" fillId="18" borderId="23" xfId="0" applyFont="1" applyFill="1" applyBorder="1" applyAlignment="1" applyProtection="1">
      <alignment horizontal="center" vertical="center" textRotation="90" wrapText="1"/>
      <protection locked="0"/>
    </xf>
    <xf numFmtId="0" fontId="37" fillId="18" borderId="34" xfId="0" applyFont="1" applyFill="1" applyBorder="1" applyAlignment="1" applyProtection="1">
      <alignment horizontal="center" vertical="center" textRotation="90" wrapText="1"/>
      <protection locked="0"/>
    </xf>
    <xf numFmtId="0" fontId="37" fillId="0" borderId="28" xfId="0" applyFont="1" applyBorder="1" applyAlignment="1" applyProtection="1">
      <alignment horizontal="center" vertical="center" wrapText="1"/>
      <protection locked="0"/>
    </xf>
    <xf numFmtId="0" fontId="38" fillId="0" borderId="32" xfId="0" applyFont="1" applyBorder="1" applyAlignment="1" applyProtection="1">
      <alignment horizontal="center" vertical="center" wrapText="1"/>
      <protection locked="0"/>
    </xf>
    <xf numFmtId="0" fontId="39" fillId="0" borderId="35" xfId="0" applyFont="1" applyBorder="1" applyAlignment="1" applyProtection="1">
      <alignment horizontal="center" vertical="center" wrapText="1"/>
      <protection hidden="1"/>
    </xf>
    <xf numFmtId="0" fontId="38" fillId="0" borderId="27" xfId="0" applyFont="1" applyBorder="1" applyAlignment="1" applyProtection="1">
      <alignment horizontal="center" vertical="center" wrapText="1"/>
      <protection locked="0"/>
    </xf>
    <xf numFmtId="0" fontId="38" fillId="0" borderId="36" xfId="0" applyFont="1" applyBorder="1" applyAlignment="1" applyProtection="1">
      <alignment horizontal="center" vertical="center" wrapText="1"/>
      <protection locked="0"/>
    </xf>
    <xf numFmtId="0" fontId="37" fillId="0" borderId="32" xfId="0" applyFont="1" applyBorder="1" applyAlignment="1" applyProtection="1">
      <alignment horizontal="center" vertical="center" wrapText="1"/>
      <protection locked="0"/>
    </xf>
    <xf numFmtId="0" fontId="37" fillId="0" borderId="27" xfId="0" applyFont="1" applyBorder="1" applyAlignment="1" applyProtection="1">
      <alignment horizontal="center" vertical="center" wrapText="1"/>
      <protection locked="0"/>
    </xf>
    <xf numFmtId="0" fontId="37" fillId="0" borderId="36" xfId="0" applyFont="1" applyBorder="1" applyAlignment="1" applyProtection="1">
      <alignment horizontal="center" vertical="center" wrapText="1"/>
      <protection locked="0"/>
    </xf>
    <xf numFmtId="0" fontId="38" fillId="0" borderId="32" xfId="0" applyFont="1" applyBorder="1" applyAlignment="1" applyProtection="1">
      <alignment vertical="center" wrapText="1"/>
      <protection locked="0"/>
    </xf>
    <xf numFmtId="0" fontId="39" fillId="0" borderId="32" xfId="0" applyFont="1" applyBorder="1" applyAlignment="1" applyProtection="1">
      <alignment horizontal="center" vertical="center" wrapText="1"/>
      <protection hidden="1"/>
    </xf>
    <xf numFmtId="0" fontId="38" fillId="0" borderId="28" xfId="0" applyFont="1" applyBorder="1" applyAlignment="1" applyProtection="1">
      <alignment horizontal="center" vertical="center" wrapText="1"/>
      <protection locked="0"/>
    </xf>
    <xf numFmtId="0" fontId="39" fillId="0" borderId="27" xfId="0" applyFont="1" applyBorder="1" applyAlignment="1" applyProtection="1">
      <alignment horizontal="center" vertical="center" wrapText="1"/>
      <protection hidden="1"/>
    </xf>
    <xf numFmtId="0" fontId="39" fillId="0" borderId="36" xfId="0" applyFont="1" applyBorder="1" applyAlignment="1" applyProtection="1">
      <alignment horizontal="center" vertical="center" wrapText="1"/>
      <protection hidden="1"/>
    </xf>
    <xf numFmtId="0" fontId="38" fillId="0" borderId="25"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hidden="1"/>
    </xf>
    <xf numFmtId="0" fontId="38" fillId="0" borderId="29" xfId="0" applyFont="1" applyBorder="1" applyAlignment="1" applyProtection="1">
      <alignment horizontal="center" vertical="center" wrapText="1"/>
      <protection locked="0"/>
    </xf>
    <xf numFmtId="0" fontId="38" fillId="0" borderId="30" xfId="0" applyFont="1" applyBorder="1" applyAlignment="1" applyProtection="1">
      <alignment horizontal="center" vertical="center" wrapText="1"/>
      <protection locked="0"/>
    </xf>
    <xf numFmtId="0" fontId="30" fillId="16" borderId="0" xfId="0" applyFont="1" applyFill="1" applyAlignment="1" applyProtection="1">
      <alignment horizontal="center"/>
      <protection locked="0"/>
    </xf>
    <xf numFmtId="0" fontId="37" fillId="0" borderId="35" xfId="0" applyFont="1" applyBorder="1" applyAlignment="1" applyProtection="1">
      <alignment horizontal="center" vertical="center" wrapText="1"/>
      <protection locked="0"/>
    </xf>
    <xf numFmtId="0" fontId="37" fillId="0" borderId="37" xfId="0" applyFont="1" applyBorder="1" applyAlignment="1" applyProtection="1">
      <alignment horizontal="center" vertical="center" wrapText="1"/>
      <protection locked="0"/>
    </xf>
    <xf numFmtId="0" fontId="37" fillId="0" borderId="38" xfId="0" applyFont="1" applyBorder="1" applyAlignment="1" applyProtection="1">
      <alignment vertical="center" wrapText="1"/>
      <protection locked="0"/>
    </xf>
    <xf numFmtId="0" fontId="37" fillId="0" borderId="31" xfId="0" applyFont="1" applyBorder="1" applyAlignment="1" applyProtection="1">
      <alignment vertical="center" wrapText="1"/>
      <protection locked="0"/>
    </xf>
    <xf numFmtId="0" fontId="37" fillId="19" borderId="39" xfId="0" applyFont="1" applyFill="1" applyBorder="1" applyAlignment="1" applyProtection="1">
      <alignment horizontal="center" vertical="center" wrapText="1"/>
      <protection locked="0"/>
    </xf>
    <xf numFmtId="0" fontId="37" fillId="19" borderId="40" xfId="0" applyFont="1" applyFill="1" applyBorder="1" applyAlignment="1" applyProtection="1">
      <alignment horizontal="center" vertical="center" wrapText="1"/>
      <protection hidden="1"/>
    </xf>
    <xf numFmtId="0" fontId="35" fillId="17" borderId="41" xfId="0" applyFont="1" applyFill="1" applyBorder="1" applyAlignment="1" applyProtection="1">
      <alignment horizontal="center" vertical="center" wrapText="1"/>
      <protection locked="0"/>
    </xf>
    <xf numFmtId="0" fontId="40" fillId="20" borderId="29" xfId="0" applyFont="1" applyFill="1" applyBorder="1" applyAlignment="1" applyProtection="1">
      <alignment horizontal="center" vertical="center" wrapText="1"/>
      <protection locked="0"/>
    </xf>
    <xf numFmtId="0" fontId="40" fillId="20" borderId="0" xfId="0" applyFont="1" applyFill="1" applyAlignment="1" applyProtection="1">
      <alignment horizontal="center" vertical="center" wrapText="1"/>
      <protection locked="0"/>
    </xf>
    <xf numFmtId="0" fontId="35" fillId="17" borderId="42" xfId="0" applyFont="1" applyFill="1" applyBorder="1" applyAlignment="1" applyProtection="1">
      <alignment horizontal="center" vertical="center" wrapText="1"/>
      <protection locked="0"/>
    </xf>
    <xf numFmtId="0" fontId="40" fillId="20" borderId="30" xfId="0" applyFont="1" applyFill="1" applyBorder="1" applyAlignment="1" applyProtection="1">
      <alignment horizontal="center" vertical="center" wrapText="1"/>
      <protection locked="0"/>
    </xf>
    <xf numFmtId="0" fontId="40" fillId="20" borderId="31" xfId="0" applyFont="1" applyFill="1" applyBorder="1" applyAlignment="1" applyProtection="1">
      <alignment horizontal="center" vertical="center" wrapText="1"/>
      <protection locked="0"/>
    </xf>
    <xf numFmtId="0" fontId="4" fillId="3" borderId="28" xfId="0" applyFont="1" applyFill="1" applyBorder="1" applyAlignment="1" applyProtection="1">
      <alignment horizontal="center" vertical="center" textRotation="90" wrapText="1"/>
      <protection locked="0"/>
    </xf>
    <xf numFmtId="0" fontId="37" fillId="18" borderId="43" xfId="0" applyFont="1" applyFill="1" applyBorder="1" applyAlignment="1" applyProtection="1">
      <alignment horizontal="center" vertical="center" textRotation="90" wrapText="1"/>
      <protection locked="0"/>
    </xf>
    <xf numFmtId="0" fontId="37" fillId="18" borderId="4" xfId="0" applyFont="1" applyFill="1" applyBorder="1" applyAlignment="1" applyProtection="1">
      <alignment horizontal="center" vertical="center" textRotation="90" wrapText="1"/>
      <protection locked="0"/>
    </xf>
    <xf numFmtId="0" fontId="37" fillId="18" borderId="44" xfId="0" applyFont="1" applyFill="1" applyBorder="1" applyAlignment="1" applyProtection="1">
      <alignment horizontal="center" vertical="center" textRotation="90" wrapText="1"/>
      <protection locked="0"/>
    </xf>
    <xf numFmtId="0" fontId="37" fillId="18" borderId="8" xfId="0" applyFont="1" applyFill="1" applyBorder="1" applyAlignment="1" applyProtection="1">
      <alignment horizontal="center" vertical="center" textRotation="90" wrapText="1"/>
      <protection locked="0"/>
    </xf>
    <xf numFmtId="0" fontId="37" fillId="18" borderId="1" xfId="0" applyFont="1" applyFill="1" applyBorder="1" applyAlignment="1" applyProtection="1">
      <alignment horizontal="center" vertical="center" textRotation="90" wrapText="1"/>
      <protection locked="0"/>
    </xf>
    <xf numFmtId="0" fontId="37" fillId="18" borderId="6" xfId="0" applyFont="1" applyFill="1" applyBorder="1" applyAlignment="1" applyProtection="1">
      <alignment horizontal="center" vertical="center" textRotation="90" wrapText="1"/>
      <protection locked="0"/>
    </xf>
    <xf numFmtId="0" fontId="37" fillId="18" borderId="45" xfId="0" applyFont="1" applyFill="1" applyBorder="1" applyAlignment="1" applyProtection="1">
      <alignment horizontal="center" vertical="center" textRotation="90" wrapText="1"/>
      <protection locked="0"/>
    </xf>
    <xf numFmtId="0" fontId="37" fillId="18" borderId="10" xfId="0" applyFont="1" applyFill="1" applyBorder="1" applyAlignment="1" applyProtection="1">
      <alignment horizontal="center" vertical="center" textRotation="90" wrapText="1"/>
      <protection locked="0"/>
    </xf>
    <xf numFmtId="0" fontId="37" fillId="18" borderId="46" xfId="0" applyFont="1" applyFill="1" applyBorder="1" applyAlignment="1" applyProtection="1">
      <alignment horizontal="center" vertical="center" textRotation="90" wrapText="1"/>
      <protection locked="0"/>
    </xf>
    <xf numFmtId="0" fontId="4" fillId="3" borderId="28" xfId="0" applyFont="1" applyFill="1" applyBorder="1" applyAlignment="1" applyProtection="1">
      <alignment horizontal="center" vertical="center" wrapText="1"/>
      <protection hidden="1"/>
    </xf>
    <xf numFmtId="0" fontId="37" fillId="0" borderId="47" xfId="0" applyFont="1" applyBorder="1" applyAlignment="1" applyProtection="1">
      <alignment horizontal="center" vertical="center" wrapText="1"/>
      <protection locked="0"/>
    </xf>
    <xf numFmtId="0" fontId="37" fillId="0" borderId="32" xfId="0" applyFont="1" applyBorder="1" applyAlignment="1" applyProtection="1">
      <alignment horizontal="center" vertical="center" wrapText="1"/>
      <protection hidden="1"/>
    </xf>
    <xf numFmtId="0" fontId="39" fillId="0" borderId="47"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37" fillId="0" borderId="27" xfId="0" applyFont="1" applyBorder="1" applyAlignment="1" applyProtection="1">
      <alignment horizontal="center" vertical="center" wrapText="1"/>
      <protection hidden="1"/>
    </xf>
    <xf numFmtId="0" fontId="37" fillId="0" borderId="36" xfId="0" applyFont="1" applyBorder="1" applyAlignment="1" applyProtection="1">
      <alignment horizontal="center" vertical="center" wrapText="1"/>
      <protection hidden="1"/>
    </xf>
    <xf numFmtId="0" fontId="4" fillId="3" borderId="32" xfId="0" applyFont="1" applyFill="1" applyBorder="1" applyAlignment="1" applyProtection="1">
      <alignment horizontal="center" vertical="center" wrapText="1"/>
      <protection hidden="1"/>
    </xf>
    <xf numFmtId="0" fontId="4" fillId="3" borderId="27" xfId="0" applyFont="1" applyFill="1" applyBorder="1" applyAlignment="1" applyProtection="1">
      <alignment horizontal="center" vertical="center" wrapText="1"/>
      <protection hidden="1"/>
    </xf>
    <xf numFmtId="0" fontId="4" fillId="3" borderId="36" xfId="0" applyFont="1" applyFill="1" applyBorder="1" applyAlignment="1" applyProtection="1">
      <alignment horizontal="center" vertical="center" wrapText="1"/>
      <protection hidden="1"/>
    </xf>
    <xf numFmtId="0" fontId="37" fillId="0" borderId="35" xfId="0" applyFont="1" applyBorder="1" applyAlignment="1" applyProtection="1">
      <alignment horizontal="center" vertical="center" wrapText="1"/>
      <protection hidden="1"/>
    </xf>
    <xf numFmtId="0" fontId="39" fillId="0" borderId="27" xfId="0" applyFont="1" applyBorder="1" applyAlignment="1" applyProtection="1">
      <alignment horizontal="center" vertical="center" wrapText="1"/>
      <protection locked="0"/>
    </xf>
    <xf numFmtId="0" fontId="4" fillId="3" borderId="48" xfId="0" applyFont="1" applyFill="1" applyBorder="1" applyAlignment="1" applyProtection="1">
      <alignment horizontal="center" vertical="center" wrapText="1"/>
      <protection hidden="1"/>
    </xf>
    <xf numFmtId="0" fontId="4" fillId="3" borderId="41" xfId="0" applyFont="1" applyFill="1" applyBorder="1" applyAlignment="1" applyProtection="1">
      <alignment horizontal="center" vertical="center" wrapText="1"/>
      <protection hidden="1"/>
    </xf>
    <xf numFmtId="0" fontId="4" fillId="3" borderId="42" xfId="0" applyFont="1" applyFill="1" applyBorder="1" applyAlignment="1" applyProtection="1">
      <alignment horizontal="center" vertical="center" wrapText="1"/>
      <protection hidden="1"/>
    </xf>
    <xf numFmtId="0" fontId="37" fillId="0" borderId="42" xfId="0" applyFont="1" applyBorder="1" applyAlignment="1" applyProtection="1">
      <alignment horizontal="center" vertical="center" wrapText="1"/>
      <protection locked="0"/>
    </xf>
    <xf numFmtId="0" fontId="4" fillId="3" borderId="47" xfId="0" applyFont="1" applyFill="1" applyBorder="1" applyAlignment="1" applyProtection="1">
      <alignment horizontal="center" vertical="center" wrapText="1"/>
      <protection hidden="1"/>
    </xf>
    <xf numFmtId="0" fontId="37" fillId="0" borderId="49" xfId="0" applyFont="1" applyBorder="1" applyAlignment="1" applyProtection="1">
      <alignment vertical="center" wrapText="1"/>
      <protection locked="0"/>
    </xf>
    <xf numFmtId="0" fontId="37" fillId="0" borderId="37" xfId="0" applyFont="1" applyBorder="1" applyAlignment="1" applyProtection="1">
      <alignment vertical="center" wrapText="1"/>
      <protection locked="0"/>
    </xf>
    <xf numFmtId="0" fontId="41" fillId="18" borderId="50" xfId="0" applyFont="1" applyFill="1" applyBorder="1" applyAlignment="1" applyProtection="1">
      <alignment horizontal="center" vertical="center" wrapText="1"/>
      <protection locked="0"/>
    </xf>
    <xf numFmtId="0" fontId="41" fillId="18" borderId="23" xfId="0" applyFont="1" applyFill="1" applyBorder="1" applyAlignment="1" applyProtection="1">
      <alignment horizontal="center" vertical="center" wrapText="1"/>
      <protection locked="0"/>
    </xf>
    <xf numFmtId="0" fontId="41" fillId="18" borderId="51" xfId="0" applyFont="1" applyFill="1" applyBorder="1" applyAlignment="1" applyProtection="1">
      <alignment horizontal="center" vertical="center" wrapText="1"/>
      <protection locked="0"/>
    </xf>
    <xf numFmtId="0" fontId="40" fillId="20" borderId="41" xfId="0" applyFont="1" applyFill="1" applyBorder="1" applyAlignment="1" applyProtection="1">
      <alignment horizontal="center" vertical="center" wrapText="1"/>
      <protection locked="0"/>
    </xf>
    <xf numFmtId="17" fontId="42" fillId="16" borderId="29" xfId="0" applyNumberFormat="1" applyFont="1" applyFill="1" applyBorder="1" applyAlignment="1" applyProtection="1">
      <alignment horizontal="center" vertical="top" wrapText="1"/>
      <protection locked="0"/>
    </xf>
    <xf numFmtId="17" fontId="42" fillId="16" borderId="0" xfId="0" applyNumberFormat="1" applyFont="1" applyFill="1" applyAlignment="1" applyProtection="1">
      <alignment horizontal="center" vertical="top" wrapText="1"/>
      <protection locked="0"/>
    </xf>
    <xf numFmtId="17" fontId="43" fillId="16" borderId="29" xfId="0" applyNumberFormat="1" applyFont="1" applyFill="1" applyBorder="1" applyAlignment="1" applyProtection="1">
      <alignment horizontal="left" vertical="top" wrapText="1"/>
      <protection locked="0"/>
    </xf>
    <xf numFmtId="17" fontId="43" fillId="16" borderId="0" xfId="0" applyNumberFormat="1" applyFont="1" applyFill="1" applyAlignment="1" applyProtection="1">
      <alignment horizontal="left" vertical="top" wrapText="1"/>
      <protection locked="0"/>
    </xf>
    <xf numFmtId="0" fontId="40" fillId="20" borderId="42" xfId="0" applyFont="1" applyFill="1" applyBorder="1" applyAlignment="1" applyProtection="1">
      <alignment horizontal="center" vertical="center" wrapText="1"/>
      <protection locked="0"/>
    </xf>
    <xf numFmtId="17" fontId="43" fillId="16" borderId="52" xfId="0" applyNumberFormat="1" applyFont="1" applyFill="1" applyBorder="1" applyAlignment="1" applyProtection="1">
      <alignment horizontal="left" vertical="top" wrapText="1"/>
      <protection locked="0"/>
    </xf>
    <xf numFmtId="17" fontId="43" fillId="16" borderId="53" xfId="0" applyNumberFormat="1" applyFont="1" applyFill="1" applyBorder="1" applyAlignment="1" applyProtection="1">
      <alignment horizontal="left" vertical="top" wrapText="1"/>
      <protection locked="0"/>
    </xf>
    <xf numFmtId="0" fontId="43" fillId="3" borderId="28" xfId="0" applyFont="1" applyFill="1" applyBorder="1" applyAlignment="1" applyProtection="1">
      <alignment horizontal="center" vertical="center" textRotation="90" wrapText="1"/>
      <protection locked="0"/>
    </xf>
    <xf numFmtId="0" fontId="4" fillId="17" borderId="8" xfId="0" applyFont="1" applyFill="1" applyBorder="1" applyAlignment="1" applyProtection="1">
      <alignment horizontal="center" vertical="center" wrapText="1"/>
      <protection locked="0"/>
    </xf>
    <xf numFmtId="0" fontId="4" fillId="17" borderId="1" xfId="0" applyFont="1" applyFill="1" applyBorder="1" applyAlignment="1" applyProtection="1">
      <alignment horizontal="center" vertical="center" wrapText="1"/>
      <protection locked="0"/>
    </xf>
    <xf numFmtId="0" fontId="4" fillId="17" borderId="10" xfId="0" applyFont="1" applyFill="1" applyBorder="1" applyAlignment="1" applyProtection="1">
      <alignment horizontal="center" vertical="center" wrapText="1"/>
      <protection locked="0"/>
    </xf>
    <xf numFmtId="0" fontId="4" fillId="17" borderId="23" xfId="0" applyFont="1" applyFill="1" applyBorder="1" applyAlignment="1" applyProtection="1">
      <alignment horizontal="center" vertical="center" wrapText="1"/>
      <protection locked="0"/>
    </xf>
    <xf numFmtId="0" fontId="4" fillId="17" borderId="45" xfId="0" applyFont="1" applyFill="1" applyBorder="1" applyAlignment="1" applyProtection="1">
      <alignment horizontal="center" vertical="center" wrapText="1"/>
      <protection locked="0"/>
    </xf>
    <xf numFmtId="0" fontId="4" fillId="17" borderId="24" xfId="0" applyFont="1" applyFill="1" applyBorder="1" applyAlignment="1" applyProtection="1">
      <alignment horizontal="center" vertical="center" wrapText="1"/>
      <protection locked="0"/>
    </xf>
    <xf numFmtId="0" fontId="39" fillId="21" borderId="54" xfId="0" applyFont="1" applyFill="1" applyBorder="1" applyAlignment="1" applyProtection="1">
      <alignment horizontal="center" vertical="center" wrapText="1"/>
      <protection locked="0"/>
    </xf>
    <xf numFmtId="0" fontId="39" fillId="21" borderId="55" xfId="0" applyFont="1" applyFill="1" applyBorder="1" applyAlignment="1" applyProtection="1">
      <alignment horizontal="center" vertical="center" wrapText="1"/>
      <protection locked="0"/>
    </xf>
    <xf numFmtId="0" fontId="39" fillId="21" borderId="56" xfId="0" applyFont="1" applyFill="1" applyBorder="1" applyAlignment="1" applyProtection="1">
      <alignment horizontal="center" vertical="center" wrapText="1"/>
      <protection locked="0"/>
    </xf>
    <xf numFmtId="0" fontId="39" fillId="21" borderId="57" xfId="0" applyFont="1" applyFill="1" applyBorder="1" applyAlignment="1" applyProtection="1">
      <alignment horizontal="center" vertical="center" wrapText="1"/>
      <protection locked="0"/>
    </xf>
    <xf numFmtId="0" fontId="39" fillId="2" borderId="32" xfId="0" applyFont="1" applyFill="1" applyBorder="1" applyAlignment="1" applyProtection="1">
      <alignment horizontal="center" vertical="center" wrapText="1"/>
      <protection locked="0"/>
    </xf>
    <xf numFmtId="0" fontId="39" fillId="21" borderId="58" xfId="0" applyFont="1" applyFill="1" applyBorder="1" applyAlignment="1" applyProtection="1">
      <alignment horizontal="center" vertical="center" wrapText="1"/>
      <protection locked="0"/>
    </xf>
    <xf numFmtId="0" fontId="39" fillId="21" borderId="59" xfId="0" applyFont="1" applyFill="1" applyBorder="1" applyAlignment="1" applyProtection="1">
      <alignment horizontal="center" vertical="center" wrapText="1"/>
      <protection locked="0"/>
    </xf>
    <xf numFmtId="0" fontId="39" fillId="2" borderId="27" xfId="0" applyFont="1" applyFill="1" applyBorder="1" applyAlignment="1" applyProtection="1">
      <alignment horizontal="center" vertical="center" wrapText="1"/>
      <protection locked="0"/>
    </xf>
    <xf numFmtId="0" fontId="39" fillId="21" borderId="60" xfId="0" applyFont="1" applyFill="1" applyBorder="1" applyAlignment="1" applyProtection="1">
      <alignment horizontal="center" vertical="center" wrapText="1"/>
      <protection locked="0"/>
    </xf>
    <xf numFmtId="0" fontId="39" fillId="21" borderId="61" xfId="0" applyFont="1" applyFill="1" applyBorder="1" applyAlignment="1" applyProtection="1">
      <alignment horizontal="center" vertical="center" wrapText="1"/>
      <protection locked="0"/>
    </xf>
    <xf numFmtId="0" fontId="39" fillId="2" borderId="36" xfId="0" applyFont="1" applyFill="1" applyBorder="1" applyAlignment="1" applyProtection="1">
      <alignment horizontal="center" vertical="center" wrapText="1"/>
      <protection locked="0"/>
    </xf>
    <xf numFmtId="0" fontId="39" fillId="21" borderId="62" xfId="0" applyFont="1" applyFill="1" applyBorder="1" applyAlignment="1" applyProtection="1">
      <alignment horizontal="center" vertical="center" wrapText="1"/>
      <protection locked="0"/>
    </xf>
    <xf numFmtId="0" fontId="39" fillId="2" borderId="28" xfId="0" applyFont="1" applyFill="1" applyBorder="1" applyAlignment="1" applyProtection="1">
      <alignment horizontal="center" vertical="center" wrapText="1"/>
      <protection locked="0"/>
    </xf>
    <xf numFmtId="0" fontId="39" fillId="21" borderId="63" xfId="0" applyFont="1" applyFill="1" applyBorder="1" applyAlignment="1" applyProtection="1">
      <alignment horizontal="center" vertical="center" wrapText="1"/>
      <protection locked="0"/>
    </xf>
    <xf numFmtId="0" fontId="39" fillId="9" borderId="28" xfId="0" applyFont="1" applyFill="1" applyBorder="1" applyAlignment="1" applyProtection="1">
      <alignment horizontal="center" vertical="center" wrapText="1"/>
      <protection locked="0"/>
    </xf>
    <xf numFmtId="0" fontId="39" fillId="0" borderId="32" xfId="0" applyFont="1" applyBorder="1" applyAlignment="1" applyProtection="1">
      <alignment horizontal="center" vertical="center" wrapText="1"/>
      <protection locked="0"/>
    </xf>
    <xf numFmtId="0" fontId="39" fillId="0" borderId="48" xfId="0" applyFont="1" applyBorder="1" applyAlignment="1" applyProtection="1">
      <alignment horizontal="center" vertical="center" wrapText="1"/>
      <protection locked="0"/>
    </xf>
    <xf numFmtId="0" fontId="4" fillId="3" borderId="25" xfId="0" applyFont="1" applyFill="1" applyBorder="1" applyAlignment="1" applyProtection="1">
      <alignment horizontal="center" vertical="center" wrapText="1"/>
      <protection hidden="1"/>
    </xf>
    <xf numFmtId="0" fontId="4" fillId="3" borderId="29" xfId="0" applyFont="1" applyFill="1" applyBorder="1" applyAlignment="1" applyProtection="1">
      <alignment horizontal="center" vertical="center" wrapText="1"/>
      <protection hidden="1"/>
    </xf>
    <xf numFmtId="0" fontId="37" fillId="0" borderId="30" xfId="0" applyFont="1" applyBorder="1" applyAlignment="1" applyProtection="1">
      <alignment horizontal="center" vertical="center" wrapText="1"/>
      <protection hidden="1"/>
    </xf>
    <xf numFmtId="0" fontId="4" fillId="3" borderId="30" xfId="0" applyFont="1" applyFill="1" applyBorder="1" applyAlignment="1" applyProtection="1">
      <alignment horizontal="center" vertical="center" wrapText="1"/>
      <protection hidden="1"/>
    </xf>
    <xf numFmtId="0" fontId="39" fillId="0" borderId="36" xfId="0" applyFont="1" applyBorder="1" applyAlignment="1" applyProtection="1">
      <alignment horizontal="center" vertical="center" wrapText="1"/>
      <protection locked="0"/>
    </xf>
    <xf numFmtId="0" fontId="4" fillId="3" borderId="35" xfId="0" applyFont="1" applyFill="1" applyBorder="1" applyAlignment="1" applyProtection="1">
      <alignment horizontal="center" vertical="center" wrapText="1"/>
      <protection hidden="1"/>
    </xf>
    <xf numFmtId="0" fontId="44" fillId="0" borderId="64" xfId="0" applyFont="1" applyBorder="1" applyAlignment="1" applyProtection="1">
      <alignment vertical="center" wrapText="1"/>
      <protection locked="0"/>
    </xf>
    <xf numFmtId="0" fontId="44" fillId="0" borderId="31" xfId="0" applyFont="1" applyBorder="1" applyAlignment="1" applyProtection="1">
      <alignment vertical="center" wrapText="1"/>
      <protection locked="0"/>
    </xf>
    <xf numFmtId="0" fontId="0" fillId="0" borderId="1" xfId="0" applyBorder="1" applyAlignment="1" applyProtection="1">
      <alignment horizontal="center" vertical="center"/>
      <protection locked="0"/>
    </xf>
    <xf numFmtId="0" fontId="45" fillId="0" borderId="1" xfId="0" applyFont="1" applyBorder="1" applyAlignment="1" applyProtection="1">
      <alignment horizontal="center"/>
      <protection locked="0"/>
    </xf>
    <xf numFmtId="0" fontId="37" fillId="21" borderId="63" xfId="0" applyFont="1" applyFill="1" applyBorder="1" applyAlignment="1" applyProtection="1">
      <alignment horizontal="center" vertical="center" wrapText="1"/>
      <protection locked="0"/>
    </xf>
    <xf numFmtId="0" fontId="37" fillId="2" borderId="25" xfId="0" applyFont="1" applyFill="1" applyBorder="1" applyAlignment="1" applyProtection="1">
      <alignment horizontal="center" vertical="center" wrapText="1"/>
      <protection locked="0"/>
    </xf>
    <xf numFmtId="0" fontId="37" fillId="2" borderId="32" xfId="0" applyFont="1" applyFill="1" applyBorder="1" applyAlignment="1" applyProtection="1">
      <alignment horizontal="center" vertical="center" wrapText="1"/>
      <protection locked="0"/>
    </xf>
    <xf numFmtId="0" fontId="37" fillId="2" borderId="29" xfId="0" applyFont="1" applyFill="1" applyBorder="1" applyAlignment="1" applyProtection="1">
      <alignment horizontal="center" vertical="center" wrapText="1"/>
      <protection locked="0"/>
    </xf>
    <xf numFmtId="0" fontId="37" fillId="2" borderId="27" xfId="0" applyFont="1" applyFill="1" applyBorder="1" applyAlignment="1" applyProtection="1">
      <alignment horizontal="center" vertical="center" wrapText="1"/>
      <protection locked="0"/>
    </xf>
    <xf numFmtId="58" fontId="33" fillId="0" borderId="28" xfId="0" applyNumberFormat="1" applyFont="1" applyBorder="1" applyAlignment="1" applyProtection="1">
      <alignment horizontal="center" vertical="center" wrapText="1"/>
      <protection locked="0"/>
    </xf>
    <xf numFmtId="0" fontId="35" fillId="17" borderId="10" xfId="0" applyFont="1" applyFill="1" applyBorder="1" applyAlignment="1" applyProtection="1">
      <alignment horizontal="center" vertical="center" wrapText="1"/>
      <protection locked="0"/>
    </xf>
    <xf numFmtId="0" fontId="4" fillId="17" borderId="46" xfId="0" applyFont="1" applyFill="1" applyBorder="1" applyAlignment="1" applyProtection="1">
      <alignment horizontal="center" vertical="center" wrapText="1"/>
      <protection locked="0"/>
    </xf>
    <xf numFmtId="0" fontId="4" fillId="17" borderId="65" xfId="0" applyFont="1" applyFill="1" applyBorder="1" applyAlignment="1" applyProtection="1">
      <alignment horizontal="center" vertical="center" wrapText="1"/>
      <protection locked="0"/>
    </xf>
    <xf numFmtId="0" fontId="35" fillId="17" borderId="23" xfId="0" applyFont="1" applyFill="1" applyBorder="1" applyAlignment="1" applyProtection="1">
      <alignment horizontal="center" vertical="center" wrapText="1"/>
      <protection locked="0"/>
    </xf>
    <xf numFmtId="0" fontId="4" fillId="17" borderId="66" xfId="0" applyFont="1" applyFill="1" applyBorder="1" applyAlignment="1" applyProtection="1">
      <alignment horizontal="center" vertical="center" wrapText="1"/>
      <protection locked="0"/>
    </xf>
    <xf numFmtId="0" fontId="4" fillId="17" borderId="53" xfId="0" applyFont="1" applyFill="1" applyBorder="1" applyAlignment="1" applyProtection="1">
      <alignment horizontal="center" vertical="center" wrapText="1"/>
      <protection locked="0"/>
    </xf>
    <xf numFmtId="0" fontId="35" fillId="17" borderId="24" xfId="0" applyFont="1" applyFill="1" applyBorder="1" applyAlignment="1" applyProtection="1">
      <alignment horizontal="center" vertical="center" wrapText="1"/>
      <protection locked="0"/>
    </xf>
    <xf numFmtId="9" fontId="39" fillId="17" borderId="10" xfId="3" applyFont="1" applyFill="1" applyBorder="1" applyAlignment="1" applyProtection="1">
      <alignment horizontal="center" vertical="center" wrapText="1"/>
      <protection locked="0"/>
    </xf>
    <xf numFmtId="0" fontId="39" fillId="21" borderId="67" xfId="0" applyFont="1" applyFill="1" applyBorder="1" applyAlignment="1" applyProtection="1">
      <alignment horizontal="center" vertical="center" wrapText="1"/>
      <protection locked="0"/>
    </xf>
    <xf numFmtId="10" fontId="3" fillId="0" borderId="32" xfId="3" applyNumberFormat="1" applyFont="1" applyFill="1" applyBorder="1" applyAlignment="1" applyProtection="1">
      <alignment horizontal="center" vertical="center" wrapText="1"/>
      <protection hidden="1"/>
    </xf>
    <xf numFmtId="10" fontId="3" fillId="0" borderId="25" xfId="3" applyNumberFormat="1" applyFont="1" applyFill="1" applyBorder="1" applyAlignment="1" applyProtection="1">
      <alignment horizontal="center" vertical="center" wrapText="1"/>
      <protection hidden="1"/>
    </xf>
    <xf numFmtId="10" fontId="30" fillId="0" borderId="28" xfId="3" applyNumberFormat="1" applyFont="1" applyFill="1" applyBorder="1" applyAlignment="1" applyProtection="1">
      <alignment horizontal="center" vertical="center" wrapText="1"/>
      <protection hidden="1"/>
    </xf>
    <xf numFmtId="10" fontId="30" fillId="21" borderId="63" xfId="3" applyNumberFormat="1" applyFont="1" applyFill="1" applyBorder="1" applyAlignment="1" applyProtection="1">
      <alignment horizontal="center" vertical="center" wrapText="1"/>
      <protection hidden="1"/>
    </xf>
    <xf numFmtId="10" fontId="3" fillId="21" borderId="58" xfId="3" applyNumberFormat="1" applyFont="1" applyFill="1" applyBorder="1" applyAlignment="1" applyProtection="1">
      <alignment horizontal="center" vertical="center" wrapText="1"/>
      <protection hidden="1"/>
    </xf>
    <xf numFmtId="10" fontId="3" fillId="0" borderId="27" xfId="3" applyNumberFormat="1" applyFont="1" applyFill="1" applyBorder="1" applyAlignment="1" applyProtection="1">
      <alignment horizontal="center" vertical="center" wrapText="1"/>
      <protection hidden="1"/>
    </xf>
    <xf numFmtId="10" fontId="3" fillId="0" borderId="29" xfId="3" applyNumberFormat="1" applyFont="1" applyFill="1" applyBorder="1" applyAlignment="1" applyProtection="1">
      <alignment horizontal="center" vertical="center" wrapText="1"/>
      <protection hidden="1"/>
    </xf>
    <xf numFmtId="10" fontId="3" fillId="21" borderId="60" xfId="3" applyNumberFormat="1" applyFont="1" applyFill="1" applyBorder="1" applyAlignment="1" applyProtection="1">
      <alignment horizontal="center" vertical="center" wrapText="1"/>
      <protection hidden="1"/>
    </xf>
    <xf numFmtId="10" fontId="3" fillId="0" borderId="36" xfId="3" applyNumberFormat="1" applyFont="1" applyFill="1" applyBorder="1" applyAlignment="1" applyProtection="1">
      <alignment horizontal="center" vertical="center" wrapText="1"/>
      <protection hidden="1"/>
    </xf>
    <xf numFmtId="10" fontId="3" fillId="0" borderId="30" xfId="3" applyNumberFormat="1" applyFont="1" applyFill="1" applyBorder="1" applyAlignment="1" applyProtection="1">
      <alignment horizontal="center" vertical="center" wrapText="1"/>
      <protection hidden="1"/>
    </xf>
    <xf numFmtId="10" fontId="3" fillId="21" borderId="62" xfId="3" applyNumberFormat="1" applyFont="1" applyFill="1" applyBorder="1" applyAlignment="1" applyProtection="1">
      <alignment horizontal="center" vertical="center" wrapText="1"/>
      <protection hidden="1"/>
    </xf>
    <xf numFmtId="10" fontId="30" fillId="21" borderId="58" xfId="3" applyNumberFormat="1" applyFont="1" applyFill="1" applyBorder="1" applyAlignment="1" applyProtection="1">
      <alignment horizontal="center" vertical="center" wrapText="1"/>
      <protection hidden="1"/>
    </xf>
    <xf numFmtId="10" fontId="15" fillId="21" borderId="58" xfId="0" applyNumberFormat="1" applyFont="1" applyFill="1" applyBorder="1" applyAlignment="1" applyProtection="1">
      <alignment horizontal="center" vertical="center" wrapText="1"/>
      <protection hidden="1"/>
    </xf>
    <xf numFmtId="10" fontId="30" fillId="21" borderId="60" xfId="3" applyNumberFormat="1" applyFont="1" applyFill="1" applyBorder="1" applyAlignment="1" applyProtection="1">
      <alignment horizontal="center" vertical="center" wrapText="1"/>
      <protection hidden="1"/>
    </xf>
    <xf numFmtId="10" fontId="15" fillId="21" borderId="60" xfId="0" applyNumberFormat="1" applyFont="1" applyFill="1" applyBorder="1" applyAlignment="1" applyProtection="1">
      <alignment horizontal="center" vertical="center" wrapText="1"/>
      <protection hidden="1"/>
    </xf>
    <xf numFmtId="10" fontId="30" fillId="21" borderId="62" xfId="3" applyNumberFormat="1" applyFont="1" applyFill="1" applyBorder="1" applyAlignment="1" applyProtection="1">
      <alignment horizontal="center" vertical="center" wrapText="1"/>
      <protection hidden="1"/>
    </xf>
    <xf numFmtId="10" fontId="15" fillId="21" borderId="62" xfId="0" applyNumberFormat="1" applyFont="1" applyFill="1" applyBorder="1" applyAlignment="1" applyProtection="1">
      <alignment horizontal="center" vertical="center" wrapText="1"/>
      <protection hidden="1"/>
    </xf>
    <xf numFmtId="0" fontId="37" fillId="21" borderId="58" xfId="0" applyFont="1" applyFill="1" applyBorder="1" applyAlignment="1" applyProtection="1">
      <alignment horizontal="center" vertical="center" wrapText="1"/>
      <protection locked="0"/>
    </xf>
    <xf numFmtId="10" fontId="3" fillId="21" borderId="63" xfId="3" applyNumberFormat="1" applyFont="1" applyFill="1" applyBorder="1" applyAlignment="1" applyProtection="1">
      <alignment horizontal="center" vertical="center" wrapText="1"/>
      <protection hidden="1"/>
    </xf>
    <xf numFmtId="10" fontId="3" fillId="21" borderId="63" xfId="0" applyNumberFormat="1" applyFont="1" applyFill="1" applyBorder="1" applyAlignment="1" applyProtection="1">
      <alignment horizontal="center" vertical="center" wrapText="1"/>
      <protection hidden="1"/>
    </xf>
    <xf numFmtId="10" fontId="15" fillId="21" borderId="63" xfId="0" applyNumberFormat="1" applyFont="1" applyFill="1" applyBorder="1" applyAlignment="1" applyProtection="1">
      <alignment horizontal="center" vertical="center" wrapText="1"/>
      <protection hidden="1"/>
    </xf>
    <xf numFmtId="10" fontId="30" fillId="0" borderId="32" xfId="3" applyNumberFormat="1" applyFont="1" applyFill="1" applyBorder="1" applyAlignment="1" applyProtection="1">
      <alignment horizontal="center" vertical="center" wrapText="1"/>
      <protection hidden="1"/>
    </xf>
    <xf numFmtId="10" fontId="3" fillId="21" borderId="58" xfId="0" applyNumberFormat="1" applyFont="1" applyFill="1" applyBorder="1" applyAlignment="1" applyProtection="1">
      <alignment horizontal="center" vertical="center" wrapText="1"/>
      <protection hidden="1"/>
    </xf>
    <xf numFmtId="10" fontId="30" fillId="0" borderId="27" xfId="3" applyNumberFormat="1" applyFont="1" applyFill="1" applyBorder="1" applyAlignment="1" applyProtection="1">
      <alignment horizontal="center" vertical="center" wrapText="1"/>
      <protection hidden="1"/>
    </xf>
    <xf numFmtId="10" fontId="3" fillId="21" borderId="60" xfId="0" applyNumberFormat="1" applyFont="1" applyFill="1" applyBorder="1" applyAlignment="1" applyProtection="1">
      <alignment horizontal="center" vertical="center" wrapText="1"/>
      <protection hidden="1"/>
    </xf>
    <xf numFmtId="10" fontId="30" fillId="0" borderId="36" xfId="3" applyNumberFormat="1" applyFont="1" applyFill="1" applyBorder="1" applyAlignment="1" applyProtection="1">
      <alignment horizontal="center" vertical="center" wrapText="1"/>
      <protection hidden="1"/>
    </xf>
    <xf numFmtId="10" fontId="3" fillId="21" borderId="62" xfId="0" applyNumberFormat="1" applyFont="1" applyFill="1" applyBorder="1" applyAlignment="1" applyProtection="1">
      <alignment horizontal="center" vertical="center" wrapText="1"/>
      <protection hidden="1"/>
    </xf>
    <xf numFmtId="10" fontId="3" fillId="0" borderId="28" xfId="0" applyNumberFormat="1" applyFont="1" applyBorder="1" applyAlignment="1" applyProtection="1">
      <alignment horizontal="center" vertical="center" wrapText="1"/>
      <protection hidden="1"/>
    </xf>
    <xf numFmtId="0" fontId="37" fillId="0" borderId="28" xfId="3" applyNumberFormat="1" applyFont="1" applyFill="1" applyBorder="1" applyAlignment="1" applyProtection="1">
      <alignment horizontal="center" vertical="center" wrapText="1"/>
      <protection locked="0"/>
    </xf>
    <xf numFmtId="9" fontId="46" fillId="21" borderId="63" xfId="3" applyFont="1" applyFill="1" applyBorder="1" applyAlignment="1" applyProtection="1">
      <alignment vertical="center" wrapText="1"/>
      <protection locked="0"/>
    </xf>
    <xf numFmtId="10" fontId="30" fillId="0" borderId="28" xfId="3" applyNumberFormat="1" applyFont="1" applyBorder="1" applyAlignment="1" applyProtection="1">
      <alignment horizontal="center" vertical="center" wrapText="1"/>
      <protection hidden="1"/>
    </xf>
    <xf numFmtId="10" fontId="3" fillId="22" borderId="63" xfId="0" applyNumberFormat="1" applyFont="1" applyFill="1" applyBorder="1" applyAlignment="1" applyProtection="1">
      <alignment horizontal="center" vertical="center" wrapText="1"/>
      <protection hidden="1"/>
    </xf>
    <xf numFmtId="0" fontId="44" fillId="0" borderId="37" xfId="0" applyFont="1" applyBorder="1" applyAlignment="1" applyProtection="1">
      <alignment vertical="center" wrapText="1"/>
      <protection locked="0"/>
    </xf>
    <xf numFmtId="10" fontId="44" fillId="0" borderId="37" xfId="0" applyNumberFormat="1" applyFont="1" applyBorder="1" applyAlignment="1" applyProtection="1">
      <alignment vertical="center" wrapText="1"/>
      <protection hidden="1"/>
    </xf>
    <xf numFmtId="10" fontId="38" fillId="0" borderId="36" xfId="3" applyNumberFormat="1" applyFont="1" applyBorder="1" applyAlignment="1" applyProtection="1">
      <alignment horizontal="center" vertical="center" wrapText="1"/>
      <protection hidden="1"/>
    </xf>
    <xf numFmtId="10" fontId="46" fillId="0" borderId="28" xfId="3" applyNumberFormat="1" applyFont="1" applyFill="1" applyBorder="1" applyAlignment="1" applyProtection="1">
      <alignment vertical="center" wrapText="1"/>
      <protection hidden="1"/>
    </xf>
    <xf numFmtId="10" fontId="46" fillId="21" borderId="63" xfId="3" applyNumberFormat="1" applyFont="1" applyFill="1" applyBorder="1" applyAlignment="1" applyProtection="1">
      <alignment vertical="center" wrapText="1"/>
      <protection hidden="1"/>
    </xf>
    <xf numFmtId="10" fontId="38" fillId="0" borderId="32" xfId="3" applyNumberFormat="1" applyFont="1" applyFill="1" applyBorder="1" applyAlignment="1" applyProtection="1">
      <alignment horizontal="center" vertical="center" wrapText="1"/>
      <protection hidden="1"/>
    </xf>
    <xf numFmtId="10" fontId="38" fillId="21" borderId="58" xfId="3" applyNumberFormat="1" applyFont="1" applyFill="1" applyBorder="1" applyAlignment="1" applyProtection="1">
      <alignment horizontal="center" vertical="center" wrapText="1"/>
      <protection hidden="1"/>
    </xf>
    <xf numFmtId="10" fontId="38" fillId="0" borderId="28" xfId="0" applyNumberFormat="1" applyFont="1" applyBorder="1" applyAlignment="1" applyProtection="1">
      <alignment horizontal="center" vertical="center" wrapText="1"/>
      <protection hidden="1"/>
    </xf>
    <xf numFmtId="10" fontId="38" fillId="0" borderId="27" xfId="3" applyNumberFormat="1" applyFont="1" applyFill="1" applyBorder="1" applyAlignment="1" applyProtection="1">
      <alignment horizontal="center" vertical="center" wrapText="1"/>
      <protection hidden="1"/>
    </xf>
    <xf numFmtId="10" fontId="38" fillId="21" borderId="60" xfId="3" applyNumberFormat="1" applyFont="1" applyFill="1" applyBorder="1" applyAlignment="1" applyProtection="1">
      <alignment horizontal="center" vertical="center" wrapText="1"/>
      <protection hidden="1"/>
    </xf>
    <xf numFmtId="0" fontId="37" fillId="0" borderId="46" xfId="0" applyFont="1" applyBorder="1" applyAlignment="1" applyProtection="1">
      <alignment horizontal="center" vertical="center" wrapText="1"/>
      <protection locked="0"/>
    </xf>
    <xf numFmtId="0" fontId="37" fillId="0" borderId="65" xfId="0" applyFont="1" applyBorder="1" applyAlignment="1" applyProtection="1">
      <alignment horizontal="center" vertical="center" wrapText="1"/>
      <protection locked="0"/>
    </xf>
    <xf numFmtId="0" fontId="37" fillId="0" borderId="45" xfId="0" applyFont="1" applyBorder="1" applyAlignment="1" applyProtection="1">
      <alignment horizontal="center" vertical="center" wrapText="1"/>
      <protection locked="0"/>
    </xf>
    <xf numFmtId="0" fontId="4" fillId="17" borderId="68" xfId="0" applyFont="1" applyFill="1" applyBorder="1" applyAlignment="1" applyProtection="1">
      <alignment horizontal="center" vertical="center" wrapText="1"/>
      <protection locked="0"/>
    </xf>
    <xf numFmtId="0" fontId="37" fillId="0" borderId="34" xfId="0" applyFont="1" applyBorder="1" applyAlignment="1" applyProtection="1">
      <alignment horizontal="center" vertical="center" wrapText="1"/>
      <protection locked="0"/>
    </xf>
    <xf numFmtId="0" fontId="37" fillId="0" borderId="0" xfId="0" applyFont="1" applyAlignment="1" applyProtection="1">
      <alignment horizontal="center" vertical="center" wrapText="1"/>
      <protection locked="0"/>
    </xf>
    <xf numFmtId="0" fontId="37" fillId="0" borderId="50" xfId="0" applyFont="1" applyBorder="1" applyAlignment="1" applyProtection="1">
      <alignment horizontal="center" vertical="center" wrapText="1"/>
      <protection locked="0"/>
    </xf>
    <xf numFmtId="0" fontId="37" fillId="0" borderId="1" xfId="0" applyFont="1" applyBorder="1" applyAlignment="1" applyProtection="1">
      <alignment horizontal="center" vertical="center" wrapText="1"/>
      <protection locked="0"/>
    </xf>
    <xf numFmtId="9" fontId="39" fillId="0" borderId="1" xfId="3" applyFont="1" applyFill="1" applyBorder="1" applyAlignment="1" applyProtection="1">
      <alignment horizontal="center" vertical="center" wrapText="1"/>
      <protection locked="0"/>
    </xf>
    <xf numFmtId="0" fontId="3" fillId="23" borderId="36" xfId="0" applyFont="1" applyFill="1" applyBorder="1" applyAlignment="1" applyProtection="1">
      <alignment horizontal="center" vertical="center" wrapText="1"/>
      <protection hidden="1"/>
    </xf>
    <xf numFmtId="0" fontId="3" fillId="0" borderId="69" xfId="0" applyFont="1" applyBorder="1" applyAlignment="1" applyProtection="1">
      <alignment horizontal="center" vertical="center" wrapText="1"/>
      <protection hidden="1"/>
    </xf>
    <xf numFmtId="0" fontId="3" fillId="2" borderId="70" xfId="0" applyFont="1" applyFill="1" applyBorder="1" applyAlignment="1" applyProtection="1">
      <alignment horizontal="center" vertical="center" wrapText="1"/>
      <protection hidden="1"/>
    </xf>
    <xf numFmtId="0" fontId="3" fillId="23" borderId="28" xfId="0" applyFont="1" applyFill="1" applyBorder="1" applyAlignment="1" applyProtection="1">
      <alignment horizontal="center" vertical="center" wrapText="1"/>
      <protection hidden="1"/>
    </xf>
    <xf numFmtId="0" fontId="3" fillId="0" borderId="63" xfId="0" applyFont="1" applyBorder="1" applyAlignment="1" applyProtection="1">
      <alignment horizontal="center" vertical="center" wrapText="1"/>
      <protection hidden="1"/>
    </xf>
    <xf numFmtId="0" fontId="3" fillId="2" borderId="60" xfId="0" applyFont="1" applyFill="1" applyBorder="1" applyAlignment="1" applyProtection="1">
      <alignment horizontal="center" vertical="center" wrapText="1"/>
      <protection hidden="1"/>
    </xf>
    <xf numFmtId="0" fontId="3" fillId="2" borderId="62" xfId="0" applyFont="1" applyFill="1" applyBorder="1" applyAlignment="1" applyProtection="1">
      <alignment horizontal="center" vertical="center" wrapText="1"/>
      <protection hidden="1"/>
    </xf>
    <xf numFmtId="0" fontId="3" fillId="23" borderId="35" xfId="0" applyFont="1" applyFill="1" applyBorder="1" applyAlignment="1" applyProtection="1">
      <alignment horizontal="center" vertical="center" wrapText="1"/>
      <protection hidden="1"/>
    </xf>
    <xf numFmtId="0" fontId="3" fillId="23" borderId="32" xfId="0" applyFont="1" applyFill="1" applyBorder="1" applyAlignment="1" applyProtection="1">
      <alignment horizontal="center" vertical="center" wrapText="1"/>
      <protection hidden="1"/>
    </xf>
    <xf numFmtId="0" fontId="3" fillId="2" borderId="63" xfId="0" applyFont="1" applyFill="1" applyBorder="1" applyAlignment="1" applyProtection="1">
      <alignment horizontal="center" vertical="center" wrapText="1"/>
      <protection hidden="1"/>
    </xf>
    <xf numFmtId="0" fontId="3" fillId="23" borderId="27" xfId="0" applyFont="1" applyFill="1" applyBorder="1" applyAlignment="1" applyProtection="1">
      <alignment horizontal="center" vertical="center" wrapText="1"/>
      <protection hidden="1"/>
    </xf>
    <xf numFmtId="0" fontId="3" fillId="0" borderId="67" xfId="0" applyFont="1" applyBorder="1" applyAlignment="1" applyProtection="1">
      <alignment horizontal="center" vertical="center" wrapText="1"/>
      <protection hidden="1"/>
    </xf>
    <xf numFmtId="0" fontId="3" fillId="0" borderId="58" xfId="0" applyFont="1" applyBorder="1" applyAlignment="1" applyProtection="1">
      <alignment horizontal="center" vertical="center" wrapText="1"/>
      <protection hidden="1"/>
    </xf>
    <xf numFmtId="0" fontId="3" fillId="0" borderId="60" xfId="0" applyFont="1" applyBorder="1" applyAlignment="1" applyProtection="1">
      <alignment horizontal="center" vertical="center" wrapText="1"/>
      <protection hidden="1"/>
    </xf>
    <xf numFmtId="0" fontId="3" fillId="0" borderId="62" xfId="0" applyFont="1" applyBorder="1" applyAlignment="1" applyProtection="1">
      <alignment horizontal="center" vertical="center" wrapText="1"/>
      <protection hidden="1"/>
    </xf>
    <xf numFmtId="0" fontId="3" fillId="0" borderId="58" xfId="0" applyFont="1" applyFill="1" applyBorder="1" applyAlignment="1" applyProtection="1">
      <alignment horizontal="center" vertical="center" wrapText="1"/>
      <protection hidden="1"/>
    </xf>
    <xf numFmtId="0" fontId="3" fillId="0" borderId="63" xfId="0" applyFont="1" applyFill="1" applyBorder="1" applyAlignment="1" applyProtection="1">
      <alignment horizontal="center" vertical="center" wrapText="1"/>
      <protection hidden="1"/>
    </xf>
    <xf numFmtId="10" fontId="3" fillId="0" borderId="32" xfId="0" applyNumberFormat="1" applyFont="1" applyBorder="1" applyAlignment="1" applyProtection="1">
      <alignment horizontal="center" vertical="center" wrapText="1"/>
      <protection hidden="1"/>
    </xf>
    <xf numFmtId="0" fontId="3" fillId="24" borderId="28" xfId="0" applyFont="1" applyFill="1" applyBorder="1" applyAlignment="1" applyProtection="1">
      <alignment horizontal="center" vertical="center" wrapText="1"/>
      <protection hidden="1"/>
    </xf>
    <xf numFmtId="0" fontId="3" fillId="24" borderId="27" xfId="0" applyFont="1" applyFill="1" applyBorder="1" applyAlignment="1" applyProtection="1">
      <alignment horizontal="center" vertical="center" wrapText="1"/>
      <protection hidden="1"/>
    </xf>
    <xf numFmtId="10" fontId="3" fillId="0" borderId="27" xfId="0" applyNumberFormat="1" applyFont="1" applyBorder="1" applyAlignment="1" applyProtection="1">
      <alignment horizontal="center" vertical="center" wrapText="1"/>
      <protection hidden="1"/>
    </xf>
    <xf numFmtId="10" fontId="3" fillId="0" borderId="36" xfId="0" applyNumberFormat="1" applyFont="1" applyBorder="1" applyAlignment="1" applyProtection="1">
      <alignment horizontal="center" vertical="center" wrapText="1"/>
      <protection hidden="1"/>
    </xf>
    <xf numFmtId="0" fontId="3" fillId="24" borderId="36" xfId="0" applyFont="1" applyFill="1" applyBorder="1" applyAlignment="1" applyProtection="1">
      <alignment horizontal="center" vertical="center" wrapText="1"/>
      <protection hidden="1"/>
    </xf>
    <xf numFmtId="0" fontId="3" fillId="24" borderId="32" xfId="0" applyFont="1" applyFill="1" applyBorder="1" applyAlignment="1" applyProtection="1">
      <alignment horizontal="center" vertical="center" wrapText="1"/>
      <protection hidden="1"/>
    </xf>
    <xf numFmtId="0" fontId="3" fillId="24" borderId="58" xfId="0" applyFont="1" applyFill="1" applyBorder="1" applyAlignment="1" applyProtection="1">
      <alignment horizontal="center" vertical="center" wrapText="1"/>
      <protection hidden="1"/>
    </xf>
    <xf numFmtId="0" fontId="3" fillId="0" borderId="60" xfId="0" applyFont="1" applyFill="1" applyBorder="1" applyAlignment="1" applyProtection="1">
      <alignment horizontal="center" vertical="center" wrapText="1"/>
      <protection hidden="1"/>
    </xf>
    <xf numFmtId="0" fontId="3" fillId="24" borderId="60" xfId="0" applyFont="1" applyFill="1" applyBorder="1" applyAlignment="1" applyProtection="1">
      <alignment horizontal="center" vertical="center" wrapText="1"/>
      <protection hidden="1"/>
    </xf>
    <xf numFmtId="0" fontId="3" fillId="0" borderId="62" xfId="0" applyFont="1" applyFill="1" applyBorder="1" applyAlignment="1" applyProtection="1">
      <alignment horizontal="center" vertical="center" wrapText="1"/>
      <protection hidden="1"/>
    </xf>
    <xf numFmtId="0" fontId="3" fillId="24" borderId="62" xfId="0" applyFont="1" applyFill="1" applyBorder="1" applyAlignment="1" applyProtection="1">
      <alignment horizontal="center" vertical="center" wrapText="1"/>
      <protection hidden="1"/>
    </xf>
    <xf numFmtId="0" fontId="3" fillId="24" borderId="63" xfId="0" applyFont="1" applyFill="1" applyBorder="1" applyAlignment="1" applyProtection="1">
      <alignment horizontal="center" vertical="center" wrapText="1"/>
      <protection hidden="1"/>
    </xf>
    <xf numFmtId="0" fontId="3" fillId="0" borderId="63" xfId="0" applyFont="1" applyBorder="1" applyAlignment="1" applyProtection="1">
      <alignment vertical="center" wrapText="1"/>
      <protection hidden="1"/>
    </xf>
    <xf numFmtId="0" fontId="44" fillId="0" borderId="37" xfId="0" applyFont="1" applyBorder="1" applyAlignment="1" applyProtection="1">
      <alignment vertical="center" wrapText="1"/>
      <protection hidden="1"/>
    </xf>
    <xf numFmtId="0" fontId="44" fillId="0" borderId="0" xfId="0" applyFont="1" applyAlignment="1" applyProtection="1">
      <alignment vertical="center" wrapText="1"/>
      <protection hidden="1"/>
    </xf>
    <xf numFmtId="0" fontId="38" fillId="23" borderId="28" xfId="0" applyFont="1" applyFill="1" applyBorder="1" applyAlignment="1" applyProtection="1">
      <alignment horizontal="center" vertical="center" wrapText="1"/>
      <protection hidden="1"/>
    </xf>
    <xf numFmtId="0" fontId="38" fillId="0" borderId="63" xfId="0" applyFont="1" applyBorder="1" applyAlignment="1" applyProtection="1">
      <alignment vertical="center" wrapText="1"/>
      <protection hidden="1"/>
    </xf>
    <xf numFmtId="10" fontId="37" fillId="21" borderId="58" xfId="0" applyNumberFormat="1" applyFont="1" applyFill="1" applyBorder="1" applyAlignment="1" applyProtection="1">
      <alignment horizontal="center" vertical="center" wrapText="1"/>
      <protection hidden="1"/>
    </xf>
    <xf numFmtId="0" fontId="38" fillId="23" borderId="32" xfId="0" applyFont="1" applyFill="1" applyBorder="1" applyAlignment="1" applyProtection="1">
      <alignment horizontal="center" vertical="center" wrapText="1"/>
      <protection hidden="1"/>
    </xf>
    <xf numFmtId="0" fontId="38" fillId="0" borderId="58" xfId="0" applyFont="1" applyBorder="1" applyAlignment="1" applyProtection="1">
      <alignment horizontal="center" vertical="center" wrapText="1"/>
      <protection hidden="1"/>
    </xf>
    <xf numFmtId="10" fontId="37" fillId="21" borderId="60" xfId="0" applyNumberFormat="1" applyFont="1" applyFill="1" applyBorder="1" applyAlignment="1" applyProtection="1">
      <alignment horizontal="center" vertical="center" wrapText="1"/>
      <protection hidden="1"/>
    </xf>
    <xf numFmtId="0" fontId="38" fillId="23" borderId="27" xfId="0" applyFont="1" applyFill="1" applyBorder="1" applyAlignment="1" applyProtection="1">
      <alignment horizontal="center" vertical="center" wrapText="1"/>
      <protection hidden="1"/>
    </xf>
    <xf numFmtId="0" fontId="38" fillId="0" borderId="60" xfId="0" applyFont="1" applyBorder="1" applyAlignment="1" applyProtection="1">
      <alignment horizontal="center" vertical="center" wrapText="1"/>
      <protection hidden="1"/>
    </xf>
    <xf numFmtId="0" fontId="31" fillId="16" borderId="48" xfId="0" applyFont="1" applyFill="1" applyBorder="1" applyAlignment="1" applyProtection="1">
      <alignment vertical="center" wrapText="1"/>
      <protection locked="0"/>
    </xf>
    <xf numFmtId="0" fontId="31" fillId="16" borderId="27" xfId="0" applyFont="1" applyFill="1" applyBorder="1" applyAlignment="1" applyProtection="1">
      <alignment vertical="center" wrapText="1"/>
      <protection locked="0"/>
    </xf>
    <xf numFmtId="17" fontId="42" fillId="16" borderId="41" xfId="0" applyNumberFormat="1" applyFont="1" applyFill="1" applyBorder="1" applyAlignment="1" applyProtection="1">
      <alignment horizontal="center" vertical="top" wrapText="1"/>
      <protection locked="0"/>
    </xf>
    <xf numFmtId="0" fontId="15" fillId="20" borderId="29" xfId="0" applyFont="1" applyFill="1" applyBorder="1" applyAlignment="1" applyProtection="1">
      <alignment horizontal="center" vertical="center" wrapText="1"/>
      <protection locked="0"/>
    </xf>
    <xf numFmtId="0" fontId="15" fillId="20" borderId="41" xfId="0" applyFont="1" applyFill="1" applyBorder="1" applyAlignment="1" applyProtection="1">
      <alignment horizontal="center" vertical="center" wrapText="1"/>
      <protection locked="0"/>
    </xf>
    <xf numFmtId="0" fontId="40" fillId="20" borderId="27" xfId="0" applyFont="1" applyFill="1" applyBorder="1" applyAlignment="1" applyProtection="1">
      <alignment horizontal="center" vertical="center" wrapText="1"/>
      <protection locked="0"/>
    </xf>
    <xf numFmtId="17" fontId="43" fillId="16" borderId="41" xfId="0" applyNumberFormat="1" applyFont="1" applyFill="1" applyBorder="1" applyAlignment="1" applyProtection="1">
      <alignment horizontal="left" vertical="top" wrapText="1"/>
      <protection locked="0"/>
    </xf>
    <xf numFmtId="17" fontId="43" fillId="16" borderId="71" xfId="0" applyNumberFormat="1" applyFont="1" applyFill="1" applyBorder="1" applyAlignment="1" applyProtection="1">
      <alignment horizontal="left" vertical="top" wrapText="1"/>
      <protection locked="0"/>
    </xf>
    <xf numFmtId="0" fontId="15" fillId="20" borderId="30" xfId="0" applyFont="1" applyFill="1" applyBorder="1" applyAlignment="1" applyProtection="1">
      <alignment horizontal="center" vertical="center" wrapText="1"/>
      <protection locked="0"/>
    </xf>
    <xf numFmtId="0" fontId="15" fillId="20" borderId="42" xfId="0" applyFont="1" applyFill="1" applyBorder="1" applyAlignment="1" applyProtection="1">
      <alignment horizontal="center" vertical="center" wrapText="1"/>
      <protection locked="0"/>
    </xf>
    <xf numFmtId="0" fontId="35" fillId="16" borderId="10" xfId="0" applyFont="1" applyFill="1" applyBorder="1" applyAlignment="1" applyProtection="1">
      <alignment horizontal="center" vertical="center" textRotation="90" wrapText="1"/>
      <protection locked="0"/>
    </xf>
    <xf numFmtId="0" fontId="47" fillId="3" borderId="72" xfId="0" applyFont="1" applyFill="1" applyBorder="1" applyAlignment="1" applyProtection="1">
      <alignment horizontal="center" vertical="center" textRotation="90" wrapText="1"/>
      <protection locked="0"/>
    </xf>
    <xf numFmtId="0" fontId="47" fillId="16" borderId="3" xfId="0" applyFont="1" applyFill="1" applyBorder="1" applyAlignment="1" applyProtection="1">
      <alignment horizontal="center" vertical="center" textRotation="90" wrapText="1"/>
      <protection locked="0"/>
    </xf>
    <xf numFmtId="0" fontId="47" fillId="3" borderId="73" xfId="0" applyFont="1" applyFill="1" applyBorder="1" applyAlignment="1" applyProtection="1">
      <alignment horizontal="center" vertical="center" textRotation="90" wrapText="1"/>
      <protection locked="0"/>
    </xf>
    <xf numFmtId="0" fontId="35" fillId="16" borderId="23" xfId="0" applyFont="1" applyFill="1" applyBorder="1" applyAlignment="1" applyProtection="1">
      <alignment horizontal="center" vertical="center" textRotation="90" wrapText="1"/>
      <protection locked="0"/>
    </xf>
    <xf numFmtId="0" fontId="47" fillId="3" borderId="74" xfId="0" applyFont="1" applyFill="1" applyBorder="1" applyAlignment="1" applyProtection="1">
      <alignment horizontal="center" vertical="center" textRotation="90" wrapText="1"/>
      <protection locked="0"/>
    </xf>
    <xf numFmtId="0" fontId="47" fillId="16" borderId="5" xfId="0" applyFont="1" applyFill="1" applyBorder="1" applyAlignment="1" applyProtection="1">
      <alignment horizontal="center" vertical="center" textRotation="90" wrapText="1"/>
      <protection locked="0"/>
    </xf>
    <xf numFmtId="0" fontId="47" fillId="3" borderId="75" xfId="0" applyFont="1" applyFill="1" applyBorder="1" applyAlignment="1" applyProtection="1">
      <alignment horizontal="center" vertical="center" textRotation="90" wrapText="1"/>
      <protection locked="0"/>
    </xf>
    <xf numFmtId="0" fontId="47" fillId="16" borderId="9" xfId="0" applyFont="1" applyFill="1" applyBorder="1" applyAlignment="1" applyProtection="1">
      <alignment horizontal="center" vertical="center" textRotation="90" wrapText="1"/>
      <protection locked="0"/>
    </xf>
    <xf numFmtId="0" fontId="15" fillId="0" borderId="32" xfId="0" applyFont="1" applyBorder="1" applyAlignment="1" applyProtection="1">
      <alignment horizontal="center" vertical="center" wrapText="1"/>
      <protection hidden="1"/>
    </xf>
    <xf numFmtId="0" fontId="48" fillId="25" borderId="28" xfId="0" applyFont="1" applyFill="1" applyBorder="1" applyAlignment="1" applyProtection="1">
      <alignment horizontal="center" vertical="center" wrapText="1"/>
      <protection hidden="1"/>
    </xf>
    <xf numFmtId="1" fontId="36" fillId="0" borderId="28" xfId="0" applyNumberFormat="1" applyFont="1" applyBorder="1" applyAlignment="1" applyProtection="1">
      <alignment horizontal="center" vertical="center" wrapText="1"/>
      <protection hidden="1"/>
    </xf>
    <xf numFmtId="0" fontId="49" fillId="3" borderId="28" xfId="0" applyFont="1" applyFill="1" applyBorder="1" applyAlignment="1" applyProtection="1">
      <alignment horizontal="center" vertical="center" wrapText="1"/>
      <protection locked="0"/>
    </xf>
    <xf numFmtId="0" fontId="44" fillId="0" borderId="28" xfId="0" applyFont="1" applyBorder="1" applyAlignment="1" applyProtection="1">
      <alignment horizontal="center" vertical="center" wrapText="1"/>
      <protection locked="0"/>
    </xf>
    <xf numFmtId="0" fontId="15" fillId="0" borderId="27" xfId="0" applyFont="1" applyBorder="1" applyAlignment="1" applyProtection="1">
      <alignment horizontal="center" vertical="center" wrapText="1"/>
      <protection hidden="1"/>
    </xf>
    <xf numFmtId="0" fontId="36" fillId="0" borderId="28" xfId="0" applyFont="1" applyBorder="1" applyAlignment="1" applyProtection="1">
      <alignment horizontal="center" vertical="center" wrapText="1"/>
      <protection hidden="1"/>
    </xf>
    <xf numFmtId="0" fontId="15" fillId="0" borderId="36" xfId="0" applyFont="1" applyBorder="1" applyAlignment="1" applyProtection="1">
      <alignment horizontal="center" vertical="center" wrapText="1"/>
      <protection hidden="1"/>
    </xf>
    <xf numFmtId="0" fontId="44" fillId="0" borderId="32" xfId="0" applyFont="1" applyBorder="1" applyAlignment="1" applyProtection="1">
      <alignment horizontal="center" vertical="center" wrapText="1"/>
      <protection locked="0"/>
    </xf>
    <xf numFmtId="0" fontId="44" fillId="0" borderId="27" xfId="0" applyFont="1" applyBorder="1" applyAlignment="1" applyProtection="1">
      <alignment horizontal="center" vertical="center" wrapText="1"/>
      <protection locked="0"/>
    </xf>
    <xf numFmtId="0" fontId="48" fillId="25" borderId="32" xfId="0" applyFont="1" applyFill="1" applyBorder="1" applyAlignment="1" applyProtection="1">
      <alignment horizontal="center" vertical="center" wrapText="1"/>
      <protection hidden="1"/>
    </xf>
    <xf numFmtId="0" fontId="44" fillId="0" borderId="36" xfId="0" applyFont="1" applyBorder="1" applyAlignment="1" applyProtection="1">
      <alignment horizontal="center" vertical="center" wrapText="1"/>
      <protection locked="0"/>
    </xf>
    <xf numFmtId="0" fontId="48" fillId="25" borderId="27" xfId="0" applyFont="1" applyFill="1" applyBorder="1" applyAlignment="1" applyProtection="1">
      <alignment horizontal="center" vertical="center" wrapText="1"/>
      <protection hidden="1"/>
    </xf>
    <xf numFmtId="0" fontId="48" fillId="25" borderId="36" xfId="0" applyFont="1" applyFill="1" applyBorder="1" applyAlignment="1" applyProtection="1">
      <alignment horizontal="center" vertical="center" wrapText="1"/>
      <protection hidden="1"/>
    </xf>
    <xf numFmtId="1" fontId="36" fillId="0" borderId="32" xfId="0" applyNumberFormat="1" applyFont="1" applyBorder="1" applyAlignment="1" applyProtection="1">
      <alignment horizontal="center" vertical="center" wrapText="1"/>
      <protection hidden="1"/>
    </xf>
    <xf numFmtId="0" fontId="49" fillId="3" borderId="32" xfId="0" applyFont="1" applyFill="1" applyBorder="1" applyAlignment="1" applyProtection="1">
      <alignment horizontal="center" vertical="center" wrapText="1"/>
      <protection locked="0"/>
    </xf>
    <xf numFmtId="0" fontId="31" fillId="16" borderId="27" xfId="0" applyFont="1" applyFill="1" applyBorder="1" applyAlignment="1" applyProtection="1">
      <alignment horizontal="center" vertical="center" wrapText="1"/>
      <protection locked="0"/>
    </xf>
    <xf numFmtId="1" fontId="36" fillId="0" borderId="27" xfId="0" applyNumberFormat="1" applyFont="1" applyBorder="1" applyAlignment="1" applyProtection="1">
      <alignment horizontal="center" vertical="center" wrapText="1"/>
      <protection hidden="1"/>
    </xf>
    <xf numFmtId="0" fontId="49" fillId="3" borderId="27" xfId="0" applyFont="1" applyFill="1" applyBorder="1" applyAlignment="1" applyProtection="1">
      <alignment horizontal="center" vertical="center" wrapText="1"/>
      <protection locked="0"/>
    </xf>
    <xf numFmtId="1" fontId="36" fillId="0" borderId="36" xfId="0" applyNumberFormat="1" applyFont="1" applyBorder="1" applyAlignment="1" applyProtection="1">
      <alignment horizontal="center" vertical="center" wrapText="1"/>
      <protection hidden="1"/>
    </xf>
    <xf numFmtId="0" fontId="49" fillId="3" borderId="36" xfId="0" applyFont="1" applyFill="1" applyBorder="1" applyAlignment="1" applyProtection="1">
      <alignment horizontal="center" vertical="center" wrapText="1"/>
      <protection locked="0"/>
    </xf>
    <xf numFmtId="0" fontId="49" fillId="3" borderId="76" xfId="0" applyFont="1" applyFill="1" applyBorder="1" applyAlignment="1" applyProtection="1">
      <alignment horizontal="center" vertical="center" wrapText="1"/>
      <protection locked="0"/>
    </xf>
    <xf numFmtId="0" fontId="37" fillId="25" borderId="40" xfId="0" applyFont="1" applyFill="1" applyBorder="1" applyAlignment="1" applyProtection="1">
      <alignment horizontal="center" vertical="center" wrapText="1"/>
      <protection hidden="1"/>
    </xf>
    <xf numFmtId="1" fontId="37" fillId="19" borderId="40" xfId="0" applyNumberFormat="1" applyFont="1" applyFill="1" applyBorder="1" applyAlignment="1" applyProtection="1">
      <alignment horizontal="center" vertical="center" wrapText="1"/>
      <protection hidden="1"/>
    </xf>
    <xf numFmtId="0" fontId="44" fillId="0" borderId="37" xfId="0" applyFont="1" applyBorder="1" applyAlignment="1" applyProtection="1">
      <alignment horizontal="center" vertical="center" wrapText="1"/>
      <protection locked="0"/>
    </xf>
    <xf numFmtId="0" fontId="44" fillId="0" borderId="47" xfId="0" applyFont="1" applyBorder="1" applyAlignment="1" applyProtection="1">
      <alignment horizontal="center" vertical="center" wrapText="1"/>
      <protection locked="0"/>
    </xf>
    <xf numFmtId="0" fontId="4" fillId="25" borderId="36" xfId="0" applyFont="1" applyFill="1" applyBorder="1" applyAlignment="1" applyProtection="1">
      <alignment horizontal="center" vertical="center" wrapText="1"/>
      <protection hidden="1"/>
    </xf>
    <xf numFmtId="1" fontId="37" fillId="0" borderId="32" xfId="0" applyNumberFormat="1" applyFont="1" applyBorder="1" applyAlignment="1" applyProtection="1">
      <alignment horizontal="center" vertical="center" wrapText="1"/>
      <protection hidden="1"/>
    </xf>
    <xf numFmtId="0" fontId="4" fillId="25" borderId="28" xfId="0" applyFont="1" applyFill="1" applyBorder="1" applyAlignment="1" applyProtection="1">
      <alignment horizontal="center" vertical="center" wrapText="1"/>
      <protection hidden="1"/>
    </xf>
    <xf numFmtId="1" fontId="37" fillId="0" borderId="27" xfId="0" applyNumberFormat="1" applyFont="1" applyBorder="1" applyAlignment="1" applyProtection="1">
      <alignment horizontal="center" vertical="center" wrapText="1"/>
      <protection hidden="1"/>
    </xf>
    <xf numFmtId="0" fontId="37" fillId="0" borderId="77" xfId="0" applyFont="1" applyBorder="1" applyAlignment="1" applyProtection="1">
      <alignment horizontal="center" vertical="center" wrapText="1"/>
      <protection locked="0"/>
    </xf>
    <xf numFmtId="0" fontId="37" fillId="0" borderId="78" xfId="0" applyFont="1" applyBorder="1" applyAlignment="1" applyProtection="1">
      <alignment horizontal="center" vertical="center" wrapText="1"/>
      <protection locked="0"/>
    </xf>
    <xf numFmtId="0" fontId="37" fillId="0" borderId="79" xfId="0" applyFont="1" applyBorder="1" applyAlignment="1" applyProtection="1">
      <alignment horizontal="center" vertical="center" wrapText="1"/>
      <protection locked="0"/>
    </xf>
    <xf numFmtId="0" fontId="37" fillId="0" borderId="80" xfId="0" applyFont="1" applyBorder="1" applyAlignment="1" applyProtection="1">
      <alignment horizontal="center" vertical="center" wrapText="1"/>
      <protection hidden="1"/>
    </xf>
    <xf numFmtId="0" fontId="37" fillId="0" borderId="81" xfId="0" applyFont="1" applyBorder="1" applyAlignment="1" applyProtection="1">
      <alignment horizontal="center" vertical="center" wrapText="1"/>
      <protection locked="0"/>
    </xf>
    <xf numFmtId="0" fontId="37" fillId="0" borderId="82" xfId="0" applyFont="1" applyBorder="1" applyAlignment="1" applyProtection="1">
      <alignment horizontal="center" vertical="center" wrapText="1"/>
      <protection locked="0"/>
    </xf>
    <xf numFmtId="0" fontId="37" fillId="0" borderId="83" xfId="0" applyFont="1" applyBorder="1" applyAlignment="1" applyProtection="1">
      <alignment horizontal="center" vertical="center" wrapText="1"/>
      <protection locked="0"/>
    </xf>
    <xf numFmtId="0" fontId="37" fillId="0" borderId="84" xfId="0" applyFont="1" applyBorder="1" applyAlignment="1" applyProtection="1">
      <alignment horizontal="center" vertical="center" wrapText="1"/>
      <protection locked="0"/>
    </xf>
    <xf numFmtId="0" fontId="37" fillId="0" borderId="30" xfId="0" applyFont="1" applyBorder="1" applyAlignment="1" applyProtection="1">
      <alignment horizontal="center" vertical="center" wrapText="1"/>
      <protection locked="0"/>
    </xf>
    <xf numFmtId="0" fontId="37" fillId="0" borderId="31" xfId="0" applyFont="1" applyBorder="1" applyAlignment="1" applyProtection="1">
      <alignment horizontal="center" vertical="center" wrapText="1"/>
      <protection locked="0"/>
    </xf>
    <xf numFmtId="0" fontId="37" fillId="0" borderId="28" xfId="0" applyFont="1" applyBorder="1" applyAlignment="1" applyProtection="1">
      <alignment horizontal="center" vertical="center" wrapText="1"/>
      <protection hidden="1"/>
    </xf>
    <xf numFmtId="0" fontId="30" fillId="16" borderId="27" xfId="0" applyFont="1" applyFill="1" applyBorder="1" applyAlignment="1" applyProtection="1">
      <alignment vertical="center"/>
      <protection locked="0"/>
    </xf>
    <xf numFmtId="0" fontId="38" fillId="0" borderId="26" xfId="0" applyFont="1" applyBorder="1" applyAlignment="1" applyProtection="1">
      <alignment horizontal="center" vertical="center" wrapText="1"/>
      <protection locked="0"/>
    </xf>
    <xf numFmtId="0" fontId="38" fillId="0" borderId="0" xfId="0" applyFont="1" applyAlignment="1" applyProtection="1">
      <alignment horizontal="center" vertical="center" wrapText="1"/>
      <protection locked="0"/>
    </xf>
    <xf numFmtId="0" fontId="38" fillId="0" borderId="31" xfId="0" applyFont="1" applyBorder="1" applyAlignment="1" applyProtection="1">
      <alignment horizontal="center" vertical="center" wrapText="1"/>
      <protection locked="0"/>
    </xf>
    <xf numFmtId="0" fontId="30" fillId="0" borderId="32" xfId="0" applyFont="1" applyBorder="1" applyAlignment="1">
      <alignment horizontal="center" wrapText="1"/>
    </xf>
    <xf numFmtId="0" fontId="30" fillId="0" borderId="27" xfId="0" applyFont="1" applyBorder="1" applyAlignment="1">
      <alignment horizontal="center" wrapText="1"/>
    </xf>
    <xf numFmtId="0" fontId="30" fillId="0" borderId="36" xfId="0" applyFont="1" applyBorder="1" applyAlignment="1">
      <alignment horizontal="center" wrapText="1"/>
    </xf>
    <xf numFmtId="0" fontId="36" fillId="2" borderId="13" xfId="0" applyFont="1" applyFill="1" applyBorder="1" applyAlignment="1" applyProtection="1">
      <alignment horizontal="center" vertical="center" wrapText="1"/>
      <protection locked="0"/>
    </xf>
    <xf numFmtId="0" fontId="37" fillId="3" borderId="31" xfId="0" applyFont="1" applyFill="1" applyBorder="1" applyAlignment="1" applyProtection="1">
      <alignment horizontal="center" vertical="center" wrapText="1"/>
      <protection locked="0"/>
    </xf>
    <xf numFmtId="0" fontId="37" fillId="3" borderId="31" xfId="0" applyFont="1" applyFill="1" applyBorder="1" applyAlignment="1" applyProtection="1">
      <alignment horizontal="center" vertical="center" wrapText="1"/>
      <protection hidden="1"/>
    </xf>
    <xf numFmtId="0" fontId="36" fillId="0" borderId="31" xfId="0" applyFont="1" applyBorder="1" applyAlignment="1" applyProtection="1">
      <alignment horizontal="center" vertical="center" wrapText="1"/>
      <protection locked="0"/>
    </xf>
    <xf numFmtId="0" fontId="44" fillId="0" borderId="31" xfId="0" applyFont="1" applyBorder="1" applyAlignment="1" applyProtection="1">
      <alignment horizontal="center" vertical="center" wrapText="1"/>
      <protection locked="0"/>
    </xf>
    <xf numFmtId="0" fontId="50" fillId="16" borderId="25" xfId="0" applyFont="1" applyFill="1" applyBorder="1" applyAlignment="1" applyProtection="1">
      <alignment horizontal="center" vertical="center" wrapText="1"/>
      <protection locked="0"/>
    </xf>
    <xf numFmtId="0" fontId="50" fillId="16" borderId="26" xfId="0" applyFont="1" applyFill="1" applyBorder="1" applyAlignment="1" applyProtection="1">
      <alignment horizontal="center" vertical="center" wrapText="1"/>
      <protection locked="0"/>
    </xf>
    <xf numFmtId="0" fontId="30" fillId="2" borderId="25" xfId="0" applyFont="1" applyFill="1" applyBorder="1" applyAlignment="1" applyProtection="1">
      <alignment vertical="center"/>
      <protection locked="0"/>
    </xf>
    <xf numFmtId="0" fontId="30" fillId="2" borderId="26" xfId="0" applyFont="1" applyFill="1" applyBorder="1" applyProtection="1">
      <protection locked="0"/>
    </xf>
    <xf numFmtId="0" fontId="30" fillId="2" borderId="26" xfId="0" applyFont="1" applyFill="1" applyBorder="1" applyAlignment="1" applyProtection="1">
      <alignment horizontal="center" wrapText="1"/>
      <protection locked="0"/>
    </xf>
    <xf numFmtId="0" fontId="51" fillId="0" borderId="29" xfId="0" applyFont="1" applyBorder="1" applyAlignment="1" applyProtection="1">
      <alignment horizontal="left"/>
      <protection locked="0"/>
    </xf>
    <xf numFmtId="0" fontId="51" fillId="0" borderId="0" xfId="0" applyFont="1" applyAlignment="1" applyProtection="1">
      <alignment horizontal="left"/>
      <protection locked="0"/>
    </xf>
    <xf numFmtId="0" fontId="51" fillId="0" borderId="30" xfId="0" applyFont="1" applyBorder="1" applyAlignment="1" applyProtection="1">
      <alignment horizontal="left"/>
      <protection locked="0"/>
    </xf>
    <xf numFmtId="0" fontId="51" fillId="0" borderId="31" xfId="0" applyFont="1" applyBorder="1" applyAlignment="1" applyProtection="1">
      <alignment horizontal="left"/>
      <protection locked="0"/>
    </xf>
    <xf numFmtId="0" fontId="51" fillId="0" borderId="31" xfId="0" applyFont="1" applyBorder="1" applyAlignment="1" applyProtection="1">
      <alignment horizontal="center" wrapText="1"/>
      <protection locked="0"/>
    </xf>
    <xf numFmtId="0" fontId="30" fillId="2" borderId="0" xfId="0" applyFont="1" applyFill="1" applyAlignment="1" applyProtection="1">
      <alignment vertical="center"/>
      <protection locked="0"/>
    </xf>
    <xf numFmtId="0" fontId="37" fillId="0" borderId="85" xfId="0" applyFont="1" applyBorder="1" applyAlignment="1" applyProtection="1">
      <alignment horizontal="center" vertical="center" wrapText="1"/>
      <protection locked="0"/>
    </xf>
    <xf numFmtId="0" fontId="37" fillId="0" borderId="80" xfId="0" applyFont="1" applyBorder="1" applyAlignment="1" applyProtection="1">
      <alignment horizontal="center" vertical="center" wrapText="1"/>
      <protection locked="0"/>
    </xf>
    <xf numFmtId="0" fontId="52" fillId="0" borderId="15" xfId="0" applyFont="1" applyBorder="1" applyAlignment="1" applyProtection="1">
      <alignment horizontal="center" vertical="center" wrapText="1"/>
      <protection locked="0"/>
    </xf>
    <xf numFmtId="0" fontId="52" fillId="0" borderId="23" xfId="0" applyFont="1" applyBorder="1" applyAlignment="1" applyProtection="1">
      <alignment horizontal="center" vertical="center" wrapText="1"/>
      <protection locked="0"/>
    </xf>
    <xf numFmtId="0" fontId="52" fillId="0" borderId="34" xfId="0" applyFont="1" applyBorder="1" applyAlignment="1" applyProtection="1">
      <alignment horizontal="center" vertical="center" wrapText="1"/>
      <protection locked="0"/>
    </xf>
    <xf numFmtId="9" fontId="37" fillId="0" borderId="31" xfId="0" applyNumberFormat="1" applyFont="1" applyBorder="1" applyAlignment="1" applyProtection="1">
      <alignment horizontal="center" vertical="center" wrapText="1"/>
      <protection locked="0"/>
    </xf>
    <xf numFmtId="0" fontId="53" fillId="2" borderId="31" xfId="0" applyFont="1" applyFill="1" applyBorder="1" applyProtection="1">
      <protection locked="0"/>
    </xf>
    <xf numFmtId="0" fontId="37" fillId="2" borderId="30" xfId="0" applyFont="1" applyFill="1" applyBorder="1" applyAlignment="1" applyProtection="1">
      <alignment horizontal="center" vertical="center" wrapText="1"/>
      <protection locked="0"/>
    </xf>
    <xf numFmtId="0" fontId="37" fillId="2" borderId="36" xfId="0" applyFont="1" applyFill="1" applyBorder="1" applyAlignment="1" applyProtection="1">
      <alignment horizontal="center" vertical="center" wrapText="1"/>
      <protection locked="0"/>
    </xf>
    <xf numFmtId="0" fontId="37" fillId="0" borderId="86" xfId="0" applyFont="1" applyBorder="1" applyAlignment="1" applyProtection="1">
      <alignment horizontal="center" vertical="center" wrapText="1"/>
      <protection hidden="1"/>
    </xf>
    <xf numFmtId="0" fontId="37" fillId="0" borderId="87" xfId="0" applyFont="1" applyBorder="1" applyAlignment="1" applyProtection="1">
      <alignment horizontal="center" vertical="center" wrapText="1"/>
      <protection locked="0"/>
    </xf>
    <xf numFmtId="0" fontId="37" fillId="21" borderId="88" xfId="0" applyFont="1" applyFill="1" applyBorder="1" applyAlignment="1" applyProtection="1">
      <alignment horizontal="center" vertical="center" wrapText="1"/>
      <protection locked="0"/>
    </xf>
    <xf numFmtId="0" fontId="37" fillId="21" borderId="60" xfId="0" applyFont="1" applyFill="1" applyBorder="1" applyAlignment="1" applyProtection="1">
      <alignment horizontal="center" vertical="center" wrapText="1"/>
      <protection locked="0"/>
    </xf>
    <xf numFmtId="0" fontId="37" fillId="21" borderId="62" xfId="0" applyFont="1" applyFill="1" applyBorder="1" applyAlignment="1" applyProtection="1">
      <alignment horizontal="center" vertical="center" wrapText="1"/>
      <protection locked="0"/>
    </xf>
    <xf numFmtId="10" fontId="38" fillId="0" borderId="36" xfId="3" applyNumberFormat="1" applyFont="1" applyFill="1" applyBorder="1" applyAlignment="1" applyProtection="1">
      <alignment horizontal="center" vertical="center" wrapText="1"/>
      <protection hidden="1"/>
    </xf>
    <xf numFmtId="10" fontId="38" fillId="21" borderId="62" xfId="3" applyNumberFormat="1" applyFont="1" applyFill="1" applyBorder="1" applyAlignment="1" applyProtection="1">
      <alignment horizontal="center" vertical="center" wrapText="1"/>
      <protection hidden="1"/>
    </xf>
    <xf numFmtId="10" fontId="38" fillId="0" borderId="89" xfId="0" applyNumberFormat="1" applyFont="1" applyBorder="1" applyAlignment="1" applyProtection="1">
      <alignment horizontal="center" vertical="center" wrapText="1"/>
      <protection hidden="1"/>
    </xf>
    <xf numFmtId="10" fontId="38" fillId="0" borderId="83" xfId="0" applyNumberFormat="1" applyFont="1" applyBorder="1" applyAlignment="1" applyProtection="1">
      <alignment horizontal="center" vertical="center" wrapText="1"/>
      <protection hidden="1"/>
    </xf>
    <xf numFmtId="0" fontId="37" fillId="21" borderId="90" xfId="0" applyFont="1" applyFill="1" applyBorder="1" applyAlignment="1" applyProtection="1">
      <alignment horizontal="center" vertical="center" wrapText="1"/>
      <protection locked="0"/>
    </xf>
    <xf numFmtId="0" fontId="37" fillId="21" borderId="91" xfId="0" applyFont="1" applyFill="1" applyBorder="1" applyAlignment="1" applyProtection="1">
      <alignment horizontal="center" vertical="center" wrapText="1"/>
      <protection locked="0"/>
    </xf>
    <xf numFmtId="10" fontId="46" fillId="0" borderId="79" xfId="0" applyNumberFormat="1" applyFont="1" applyBorder="1" applyAlignment="1" applyProtection="1">
      <alignment horizontal="center" vertical="center"/>
      <protection hidden="1"/>
    </xf>
    <xf numFmtId="10" fontId="46" fillId="21" borderId="92" xfId="0" applyNumberFormat="1" applyFont="1" applyFill="1" applyBorder="1" applyAlignment="1" applyProtection="1">
      <alignment horizontal="center" vertical="center"/>
      <protection hidden="1"/>
    </xf>
    <xf numFmtId="10" fontId="38" fillId="0" borderId="28" xfId="3" applyNumberFormat="1" applyFont="1" applyFill="1" applyBorder="1" applyAlignment="1" applyProtection="1">
      <alignment horizontal="center" vertical="center" wrapText="1"/>
      <protection hidden="1"/>
    </xf>
    <xf numFmtId="10" fontId="38" fillId="21" borderId="63" xfId="3" applyNumberFormat="1" applyFont="1" applyFill="1" applyBorder="1" applyAlignment="1" applyProtection="1">
      <alignment horizontal="center" vertical="center" wrapText="1"/>
      <protection hidden="1"/>
    </xf>
    <xf numFmtId="10" fontId="46" fillId="0" borderId="85" xfId="0" applyNumberFormat="1" applyFont="1" applyBorder="1" applyAlignment="1" applyProtection="1">
      <alignment horizontal="center" vertical="center"/>
      <protection hidden="1"/>
    </xf>
    <xf numFmtId="9" fontId="38" fillId="0" borderId="32" xfId="3" applyFont="1" applyFill="1" applyBorder="1" applyAlignment="1" applyProtection="1">
      <alignment horizontal="center" vertical="center" wrapText="1"/>
      <protection hidden="1"/>
    </xf>
    <xf numFmtId="9" fontId="38" fillId="0" borderId="58" xfId="3" applyFont="1" applyFill="1" applyBorder="1" applyAlignment="1" applyProtection="1">
      <alignment horizontal="center" vertical="center" wrapText="1"/>
      <protection hidden="1"/>
    </xf>
    <xf numFmtId="9" fontId="38" fillId="0" borderId="28" xfId="3" applyFont="1" applyFill="1" applyBorder="1" applyAlignment="1" applyProtection="1">
      <alignment horizontal="center" vertical="center" wrapText="1"/>
      <protection hidden="1"/>
    </xf>
    <xf numFmtId="9" fontId="37" fillId="21" borderId="63" xfId="3" applyFont="1" applyFill="1" applyBorder="1" applyAlignment="1" applyProtection="1">
      <alignment horizontal="center" vertical="center" wrapText="1"/>
      <protection hidden="1"/>
    </xf>
    <xf numFmtId="9" fontId="38" fillId="0" borderId="27" xfId="3" applyFont="1" applyFill="1" applyBorder="1" applyAlignment="1" applyProtection="1">
      <alignment horizontal="center" vertical="center" wrapText="1"/>
      <protection hidden="1"/>
    </xf>
    <xf numFmtId="9" fontId="38" fillId="0" borderId="60" xfId="3" applyFont="1" applyFill="1" applyBorder="1" applyAlignment="1" applyProtection="1">
      <alignment horizontal="center" vertical="center" wrapText="1"/>
      <protection hidden="1"/>
    </xf>
    <xf numFmtId="9" fontId="38" fillId="0" borderId="36" xfId="3" applyFont="1" applyFill="1" applyBorder="1" applyAlignment="1" applyProtection="1">
      <alignment horizontal="center" vertical="center" wrapText="1"/>
      <protection hidden="1"/>
    </xf>
    <xf numFmtId="9" fontId="38" fillId="0" borderId="62" xfId="3" applyFont="1" applyFill="1" applyBorder="1" applyAlignment="1" applyProtection="1">
      <alignment horizontal="center" vertical="center" wrapText="1"/>
      <protection hidden="1"/>
    </xf>
    <xf numFmtId="9" fontId="38" fillId="21" borderId="58" xfId="3" applyFont="1" applyFill="1" applyBorder="1" applyAlignment="1" applyProtection="1">
      <alignment horizontal="center" vertical="center" wrapText="1"/>
      <protection hidden="1"/>
    </xf>
    <xf numFmtId="9" fontId="38" fillId="21" borderId="60" xfId="3" applyFont="1" applyFill="1" applyBorder="1" applyAlignment="1" applyProtection="1">
      <alignment horizontal="center" vertical="center" wrapText="1"/>
      <protection hidden="1"/>
    </xf>
    <xf numFmtId="9" fontId="38" fillId="21" borderId="62" xfId="3" applyFont="1" applyFill="1" applyBorder="1" applyAlignment="1" applyProtection="1">
      <alignment horizontal="center" vertical="center" wrapText="1"/>
      <protection hidden="1"/>
    </xf>
    <xf numFmtId="9" fontId="37" fillId="21" borderId="67" xfId="3" applyFont="1" applyFill="1" applyBorder="1" applyAlignment="1" applyProtection="1">
      <alignment horizontal="center" vertical="center" wrapText="1"/>
      <protection hidden="1"/>
    </xf>
    <xf numFmtId="0" fontId="37" fillId="3" borderId="31" xfId="0" applyFont="1" applyFill="1" applyBorder="1" applyAlignment="1">
      <alignment horizontal="center" vertical="center" wrapText="1"/>
    </xf>
    <xf numFmtId="0" fontId="30" fillId="2" borderId="31" xfId="0" applyFont="1" applyFill="1" applyBorder="1" applyProtection="1">
      <protection locked="0"/>
    </xf>
    <xf numFmtId="10" fontId="37" fillId="21" borderId="93" xfId="0" applyNumberFormat="1" applyFont="1" applyFill="1" applyBorder="1" applyAlignment="1" applyProtection="1">
      <alignment horizontal="center" vertical="center" wrapText="1"/>
      <protection hidden="1"/>
    </xf>
    <xf numFmtId="0" fontId="38" fillId="23" borderId="36" xfId="0" applyFont="1" applyFill="1" applyBorder="1" applyAlignment="1" applyProtection="1">
      <alignment horizontal="center" vertical="center" wrapText="1"/>
      <protection hidden="1"/>
    </xf>
    <xf numFmtId="0" fontId="38" fillId="0" borderId="62" xfId="0" applyFont="1" applyBorder="1" applyAlignment="1" applyProtection="1">
      <alignment horizontal="center" vertical="center" wrapText="1"/>
      <protection hidden="1"/>
    </xf>
    <xf numFmtId="10" fontId="37" fillId="21" borderId="70" xfId="0" applyNumberFormat="1" applyFont="1" applyFill="1" applyBorder="1" applyAlignment="1" applyProtection="1">
      <alignment horizontal="center" vertical="center" wrapText="1"/>
      <protection hidden="1"/>
    </xf>
    <xf numFmtId="10" fontId="37" fillId="21" borderId="62" xfId="0" applyNumberFormat="1" applyFont="1" applyFill="1" applyBorder="1" applyAlignment="1" applyProtection="1">
      <alignment horizontal="center" vertical="center" wrapText="1"/>
      <protection hidden="1"/>
    </xf>
    <xf numFmtId="0" fontId="38" fillId="0" borderId="63" xfId="0" applyFont="1" applyBorder="1" applyAlignment="1" applyProtection="1">
      <alignment horizontal="center" vertical="center" wrapText="1"/>
      <protection hidden="1"/>
    </xf>
    <xf numFmtId="0" fontId="38" fillId="23" borderId="28" xfId="0" applyFont="1" applyFill="1" applyBorder="1" applyAlignment="1" applyProtection="1">
      <alignment vertical="center" wrapText="1"/>
      <protection hidden="1"/>
    </xf>
    <xf numFmtId="0" fontId="38" fillId="0" borderId="58" xfId="0" applyFont="1" applyBorder="1" applyAlignment="1" applyProtection="1">
      <alignment vertical="center" wrapText="1"/>
      <protection hidden="1"/>
    </xf>
    <xf numFmtId="9" fontId="37" fillId="21" borderId="58" xfId="3" applyFont="1" applyFill="1" applyBorder="1" applyAlignment="1" applyProtection="1">
      <alignment horizontal="center" vertical="center" wrapText="1"/>
      <protection hidden="1"/>
    </xf>
    <xf numFmtId="0" fontId="38" fillId="2" borderId="58" xfId="0" applyFont="1" applyFill="1" applyBorder="1" applyAlignment="1" applyProtection="1">
      <alignment horizontal="center" vertical="center" wrapText="1"/>
      <protection hidden="1"/>
    </xf>
    <xf numFmtId="9" fontId="37" fillId="21" borderId="60" xfId="3" applyFont="1" applyFill="1" applyBorder="1" applyAlignment="1" applyProtection="1">
      <alignment horizontal="center" vertical="center" wrapText="1"/>
      <protection hidden="1"/>
    </xf>
    <xf numFmtId="0" fontId="38" fillId="2" borderId="60" xfId="0" applyFont="1" applyFill="1" applyBorder="1" applyAlignment="1" applyProtection="1">
      <alignment horizontal="center" vertical="center" wrapText="1"/>
      <protection hidden="1"/>
    </xf>
    <xf numFmtId="9" fontId="37" fillId="21" borderId="62" xfId="3" applyFont="1" applyFill="1" applyBorder="1" applyAlignment="1" applyProtection="1">
      <alignment horizontal="center" vertical="center" wrapText="1"/>
      <protection hidden="1"/>
    </xf>
    <xf numFmtId="0" fontId="38" fillId="2" borderId="62" xfId="0" applyFont="1" applyFill="1" applyBorder="1" applyAlignment="1" applyProtection="1">
      <alignment horizontal="center" vertical="center" wrapText="1"/>
      <protection hidden="1"/>
    </xf>
    <xf numFmtId="9" fontId="37" fillId="0" borderId="0" xfId="0" applyNumberFormat="1" applyFont="1" applyAlignment="1" applyProtection="1">
      <alignment horizontal="center" vertical="center" wrapText="1"/>
      <protection locked="0"/>
    </xf>
    <xf numFmtId="1" fontId="37" fillId="0" borderId="36" xfId="0" applyNumberFormat="1" applyFont="1" applyBorder="1" applyAlignment="1" applyProtection="1">
      <alignment horizontal="center" vertical="center" wrapText="1"/>
      <protection hidden="1"/>
    </xf>
    <xf numFmtId="1" fontId="4" fillId="25" borderId="28" xfId="3" applyNumberFormat="1" applyFont="1" applyFill="1" applyBorder="1" applyAlignment="1" applyProtection="1">
      <alignment horizontal="center" vertical="center" wrapText="1"/>
      <protection hidden="1"/>
    </xf>
    <xf numFmtId="1" fontId="4" fillId="3" borderId="28" xfId="3" applyNumberFormat="1" applyFont="1" applyFill="1" applyBorder="1" applyAlignment="1" applyProtection="1">
      <alignment horizontal="center" vertical="center" wrapText="1"/>
      <protection hidden="1"/>
    </xf>
    <xf numFmtId="0" fontId="37" fillId="0" borderId="47" xfId="0" applyFont="1" applyBorder="1" applyAlignment="1" applyProtection="1">
      <alignment vertical="center" wrapText="1"/>
      <protection locked="0"/>
    </xf>
    <xf numFmtId="0" fontId="37" fillId="0" borderId="28" xfId="0" applyFont="1" applyBorder="1" applyAlignment="1" applyProtection="1">
      <alignment vertical="center" wrapText="1"/>
      <protection locked="0"/>
    </xf>
    <xf numFmtId="0" fontId="31" fillId="16" borderId="41" xfId="0" applyFont="1" applyFill="1" applyBorder="1" applyAlignment="1" applyProtection="1">
      <alignment horizontal="center" vertical="center" wrapText="1"/>
      <protection locked="0"/>
    </xf>
    <xf numFmtId="0" fontId="4" fillId="25" borderId="32" xfId="0" applyFont="1" applyFill="1" applyBorder="1" applyAlignment="1" applyProtection="1">
      <alignment horizontal="center" vertical="center" wrapText="1"/>
      <protection hidden="1"/>
    </xf>
    <xf numFmtId="0" fontId="4" fillId="25" borderId="27" xfId="0" applyFont="1" applyFill="1" applyBorder="1" applyAlignment="1" applyProtection="1">
      <alignment horizontal="center" vertical="center" wrapText="1"/>
      <protection hidden="1"/>
    </xf>
    <xf numFmtId="1" fontId="37" fillId="3" borderId="31" xfId="0" applyNumberFormat="1" applyFont="1" applyFill="1" applyBorder="1" applyAlignment="1">
      <alignment horizontal="center" vertical="center" wrapText="1"/>
    </xf>
    <xf numFmtId="0" fontId="37" fillId="3" borderId="37" xfId="0" applyFont="1" applyFill="1" applyBorder="1" applyAlignment="1" applyProtection="1">
      <alignment horizontal="center" vertical="center" wrapText="1"/>
      <protection locked="0"/>
    </xf>
    <xf numFmtId="9" fontId="54" fillId="0" borderId="37" xfId="3" applyFont="1" applyFill="1" applyBorder="1" applyAlignment="1" applyProtection="1">
      <alignment horizontal="center" vertical="center" wrapText="1"/>
      <protection hidden="1"/>
    </xf>
    <xf numFmtId="1" fontId="55" fillId="0" borderId="37" xfId="3" applyNumberFormat="1" applyFont="1" applyFill="1" applyBorder="1" applyAlignment="1" applyProtection="1">
      <alignment horizontal="center" vertical="center" wrapText="1"/>
      <protection locked="0"/>
    </xf>
    <xf numFmtId="0" fontId="30" fillId="2" borderId="48" xfId="0" applyFont="1" applyFill="1" applyBorder="1" applyProtection="1">
      <protection locked="0"/>
    </xf>
    <xf numFmtId="0" fontId="30" fillId="2" borderId="41" xfId="0" applyFont="1" applyFill="1" applyBorder="1" applyProtection="1">
      <protection locked="0"/>
    </xf>
    <xf numFmtId="0" fontId="30" fillId="2" borderId="42" xfId="0" applyFont="1" applyFill="1" applyBorder="1" applyProtection="1">
      <protection locked="0"/>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Percent 2" xfId="50"/>
  </cellStyles>
  <dxfs count="6">
    <dxf>
      <font>
        <color rgb="FF9C0006"/>
      </font>
    </dxf>
    <dxf>
      <font>
        <color rgb="FF00B050"/>
      </font>
      <fill>
        <patternFill patternType="none"/>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ill>
        <patternFill patternType="none"/>
      </fill>
    </dxf>
  </dxfs>
  <tableStyles count="0" defaultTableStyle="TableStyleMedium2" defaultPivotStyle="PivotStyleLight16"/>
  <colors>
    <mruColors>
      <color rgb="00FCFDE3"/>
      <color rgb="00F9E7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61"/>
  <sheetViews>
    <sheetView tabSelected="1" zoomScale="40" zoomScaleNormal="40" workbookViewId="0">
      <pane xSplit="4" topLeftCell="O1" activePane="topRight" state="frozen"/>
      <selection/>
      <selection pane="topRight" activeCell="C5" sqref="C5:D7"/>
    </sheetView>
  </sheetViews>
  <sheetFormatPr defaultColWidth="9" defaultRowHeight="14.25"/>
  <cols>
    <col min="1" max="1" width="1.46666666666667" style="127" customWidth="1"/>
    <col min="2" max="2" width="5.73333333333333" style="127" customWidth="1"/>
    <col min="3" max="3" width="22" style="127" customWidth="1"/>
    <col min="4" max="4" width="51.6" style="128" customWidth="1"/>
    <col min="5" max="18" width="8.46666666666667" style="127" customWidth="1"/>
    <col min="19" max="20" width="11" style="127" customWidth="1"/>
    <col min="21" max="22" width="15" style="127" customWidth="1"/>
    <col min="23" max="24" width="11" style="127" customWidth="1"/>
    <col min="25" max="25" width="12.4666666666667" style="127" customWidth="1"/>
    <col min="26" max="26" width="11" style="127" customWidth="1"/>
    <col min="27" max="27" width="10.6" style="127" customWidth="1"/>
    <col min="28" max="28" width="10.2666666666667" style="127" customWidth="1"/>
    <col min="29" max="29" width="10.6" style="127" customWidth="1"/>
    <col min="30" max="30" width="10.7333333333333" style="127" customWidth="1"/>
    <col min="31" max="31" width="11" style="127" customWidth="1"/>
    <col min="32" max="32" width="10.2666666666667" style="127" customWidth="1"/>
    <col min="33" max="33" width="8.46666666666667" style="127" customWidth="1"/>
    <col min="34" max="34" width="10.3333333333333" style="127" customWidth="1"/>
    <col min="35" max="35" width="10" style="127" customWidth="1"/>
    <col min="36" max="36" width="9" style="127" customWidth="1"/>
    <col min="37" max="38" width="9.6" style="127" customWidth="1"/>
    <col min="39" max="39" width="11.2666666666667" style="127" customWidth="1"/>
    <col min="40" max="40" width="8.46666666666667" style="127" customWidth="1"/>
    <col min="41" max="41" width="11" style="127" customWidth="1"/>
    <col min="42" max="42" width="8.46666666666667" style="127" customWidth="1"/>
    <col min="43" max="44" width="11" style="127" customWidth="1"/>
    <col min="45" max="46" width="29" style="127" customWidth="1"/>
    <col min="47" max="47" width="6" style="127" customWidth="1"/>
    <col min="48" max="16384" width="9" style="127"/>
  </cols>
  <sheetData>
    <row r="1" ht="6" customHeight="1"/>
    <row r="2" ht="4.15" customHeight="1"/>
    <row r="3" s="125" customFormat="1" ht="38.25" customHeight="1" spans="1:47">
      <c r="A3" s="129"/>
      <c r="B3" s="130"/>
      <c r="C3" s="131" t="s">
        <v>0</v>
      </c>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362"/>
    </row>
    <row r="4" ht="54.75" customHeight="1" spans="1:47">
      <c r="A4" s="132"/>
      <c r="B4" s="133"/>
      <c r="C4" s="134" t="s">
        <v>1</v>
      </c>
      <c r="D4" s="134"/>
      <c r="E4" s="134"/>
      <c r="F4" s="134"/>
      <c r="G4" s="134"/>
      <c r="H4" s="134"/>
      <c r="I4" s="134"/>
      <c r="J4" s="134" t="s">
        <v>2</v>
      </c>
      <c r="K4" s="134"/>
      <c r="L4" s="134"/>
      <c r="M4" s="134"/>
      <c r="N4" s="134" t="s">
        <v>3</v>
      </c>
      <c r="O4" s="134"/>
      <c r="P4" s="134"/>
      <c r="Q4" s="134"/>
      <c r="R4" s="134"/>
      <c r="S4" s="134" t="s">
        <v>4</v>
      </c>
      <c r="T4" s="134"/>
      <c r="U4" s="134"/>
      <c r="V4" s="134" t="s">
        <v>5</v>
      </c>
      <c r="W4" s="134"/>
      <c r="X4" s="134"/>
      <c r="Y4" s="134"/>
      <c r="Z4" s="134"/>
      <c r="AA4" s="134" t="s">
        <v>6</v>
      </c>
      <c r="AB4" s="134"/>
      <c r="AC4" s="134"/>
      <c r="AD4" s="134"/>
      <c r="AE4" s="260" t="s">
        <v>7</v>
      </c>
      <c r="AF4" s="134"/>
      <c r="AG4" s="134"/>
      <c r="AH4" s="134"/>
      <c r="AI4" s="134"/>
      <c r="AJ4" s="134" t="s">
        <v>8</v>
      </c>
      <c r="AK4" s="134"/>
      <c r="AL4" s="134"/>
      <c r="AM4" s="134"/>
      <c r="AN4" s="134"/>
      <c r="AO4" s="134"/>
      <c r="AP4" s="134" t="s">
        <v>9</v>
      </c>
      <c r="AQ4" s="134"/>
      <c r="AR4" s="134"/>
      <c r="AS4" s="134"/>
      <c r="AT4" s="134"/>
      <c r="AU4" s="363"/>
    </row>
    <row r="5" ht="20.25" customHeight="1" spans="1:47">
      <c r="A5" s="132"/>
      <c r="B5" s="133"/>
      <c r="C5" s="135" t="s">
        <v>10</v>
      </c>
      <c r="D5" s="136"/>
      <c r="E5" s="137" t="s">
        <v>11</v>
      </c>
      <c r="F5" s="138"/>
      <c r="G5" s="138"/>
      <c r="H5" s="138"/>
      <c r="I5" s="175"/>
      <c r="J5" s="137" t="s">
        <v>12</v>
      </c>
      <c r="K5" s="138"/>
      <c r="L5" s="138"/>
      <c r="M5" s="175"/>
      <c r="N5" s="176" t="s">
        <v>13</v>
      </c>
      <c r="O5" s="177"/>
      <c r="P5" s="177"/>
      <c r="Q5" s="177"/>
      <c r="R5" s="213"/>
      <c r="S5" s="214" t="s">
        <v>14</v>
      </c>
      <c r="T5" s="215"/>
      <c r="U5" s="215"/>
      <c r="V5" s="215"/>
      <c r="W5" s="215"/>
      <c r="X5" s="215"/>
      <c r="Y5" s="215"/>
      <c r="Z5" s="215"/>
      <c r="AA5" s="215"/>
      <c r="AB5" s="215"/>
      <c r="AC5" s="215"/>
      <c r="AD5" s="215"/>
      <c r="AE5" s="215"/>
      <c r="AF5" s="215"/>
      <c r="AG5" s="215"/>
      <c r="AH5" s="215"/>
      <c r="AI5" s="215"/>
      <c r="AJ5" s="215"/>
      <c r="AK5" s="215"/>
      <c r="AL5" s="215"/>
      <c r="AM5" s="215"/>
      <c r="AN5" s="215"/>
      <c r="AO5" s="215"/>
      <c r="AP5" s="364"/>
      <c r="AQ5" s="365" t="s">
        <v>15</v>
      </c>
      <c r="AR5" s="366"/>
      <c r="AS5" s="367" t="s">
        <v>16</v>
      </c>
      <c r="AT5" s="367" t="s">
        <v>17</v>
      </c>
      <c r="AU5" s="363"/>
    </row>
    <row r="6" ht="30" customHeight="1" spans="1:47">
      <c r="A6" s="132"/>
      <c r="B6" s="133"/>
      <c r="C6" s="135"/>
      <c r="D6" s="136"/>
      <c r="E6" s="137"/>
      <c r="F6" s="138"/>
      <c r="G6" s="138"/>
      <c r="H6" s="138"/>
      <c r="I6" s="175"/>
      <c r="J6" s="137"/>
      <c r="K6" s="138"/>
      <c r="L6" s="138"/>
      <c r="M6" s="175"/>
      <c r="N6" s="176"/>
      <c r="O6" s="177"/>
      <c r="P6" s="177"/>
      <c r="Q6" s="177"/>
      <c r="R6" s="213"/>
      <c r="S6" s="216" t="s">
        <v>18</v>
      </c>
      <c r="T6" s="217"/>
      <c r="U6" s="217"/>
      <c r="V6" s="217"/>
      <c r="W6" s="217"/>
      <c r="X6" s="217"/>
      <c r="Y6" s="217"/>
      <c r="Z6" s="217"/>
      <c r="AA6" s="217"/>
      <c r="AB6" s="217"/>
      <c r="AC6" s="217"/>
      <c r="AD6" s="217"/>
      <c r="AE6" s="217"/>
      <c r="AF6" s="217"/>
      <c r="AG6" s="217"/>
      <c r="AH6" s="217"/>
      <c r="AI6" s="217"/>
      <c r="AJ6" s="217"/>
      <c r="AK6" s="217"/>
      <c r="AL6" s="217"/>
      <c r="AM6" s="217"/>
      <c r="AN6" s="217"/>
      <c r="AO6" s="217"/>
      <c r="AP6" s="368"/>
      <c r="AQ6" s="365"/>
      <c r="AR6" s="366"/>
      <c r="AS6" s="367"/>
      <c r="AT6" s="367"/>
      <c r="AU6" s="363"/>
    </row>
    <row r="7" ht="84.75" customHeight="1" spans="1:47">
      <c r="A7" s="132"/>
      <c r="B7" s="133"/>
      <c r="C7" s="139"/>
      <c r="D7" s="140"/>
      <c r="E7" s="141"/>
      <c r="F7" s="142"/>
      <c r="G7" s="142"/>
      <c r="H7" s="142"/>
      <c r="I7" s="178"/>
      <c r="J7" s="141"/>
      <c r="K7" s="142"/>
      <c r="L7" s="142"/>
      <c r="M7" s="178"/>
      <c r="N7" s="179"/>
      <c r="O7" s="180"/>
      <c r="P7" s="180"/>
      <c r="Q7" s="180"/>
      <c r="R7" s="218"/>
      <c r="S7" s="219"/>
      <c r="T7" s="220"/>
      <c r="U7" s="220"/>
      <c r="V7" s="220"/>
      <c r="W7" s="220"/>
      <c r="X7" s="220"/>
      <c r="Y7" s="220"/>
      <c r="Z7" s="220"/>
      <c r="AA7" s="220"/>
      <c r="AB7" s="220"/>
      <c r="AC7" s="220"/>
      <c r="AD7" s="220"/>
      <c r="AE7" s="220"/>
      <c r="AF7" s="220"/>
      <c r="AG7" s="220"/>
      <c r="AH7" s="220"/>
      <c r="AI7" s="220"/>
      <c r="AJ7" s="220"/>
      <c r="AK7" s="220"/>
      <c r="AL7" s="220"/>
      <c r="AM7" s="220"/>
      <c r="AN7" s="220"/>
      <c r="AO7" s="220"/>
      <c r="AP7" s="369"/>
      <c r="AQ7" s="370"/>
      <c r="AR7" s="371"/>
      <c r="AS7" s="367"/>
      <c r="AT7" s="367"/>
      <c r="AU7" s="363"/>
    </row>
    <row r="8" ht="37.5" customHeight="1" spans="1:47">
      <c r="A8" s="132"/>
      <c r="B8" s="133"/>
      <c r="C8" s="143" t="s">
        <v>19</v>
      </c>
      <c r="D8" s="143" t="s">
        <v>20</v>
      </c>
      <c r="E8" s="144" t="s">
        <v>21</v>
      </c>
      <c r="F8" s="145" t="s">
        <v>22</v>
      </c>
      <c r="G8" s="145" t="s">
        <v>23</v>
      </c>
      <c r="H8" s="146" t="s">
        <v>24</v>
      </c>
      <c r="I8" s="181" t="s">
        <v>25</v>
      </c>
      <c r="J8" s="182" t="s">
        <v>26</v>
      </c>
      <c r="K8" s="183" t="s">
        <v>27</v>
      </c>
      <c r="L8" s="184" t="s">
        <v>24</v>
      </c>
      <c r="M8" s="181" t="s">
        <v>25</v>
      </c>
      <c r="N8" s="182" t="s">
        <v>28</v>
      </c>
      <c r="O8" s="183" t="s">
        <v>29</v>
      </c>
      <c r="P8" s="183" t="s">
        <v>30</v>
      </c>
      <c r="Q8" s="184" t="s">
        <v>24</v>
      </c>
      <c r="R8" s="221" t="s">
        <v>25</v>
      </c>
      <c r="S8" s="222" t="s">
        <v>31</v>
      </c>
      <c r="T8" s="223" t="s">
        <v>32</v>
      </c>
      <c r="U8" s="223" t="s">
        <v>33</v>
      </c>
      <c r="V8" s="223" t="s">
        <v>34</v>
      </c>
      <c r="W8" s="224" t="s">
        <v>35</v>
      </c>
      <c r="X8" s="224" t="s">
        <v>36</v>
      </c>
      <c r="Y8" s="224" t="s">
        <v>37</v>
      </c>
      <c r="Z8" s="261" t="s">
        <v>38</v>
      </c>
      <c r="AA8" s="262" t="s">
        <v>39</v>
      </c>
      <c r="AB8" s="263"/>
      <c r="AC8" s="263"/>
      <c r="AD8" s="263"/>
      <c r="AE8" s="263"/>
      <c r="AF8" s="263"/>
      <c r="AG8" s="226"/>
      <c r="AH8" s="312" t="s">
        <v>24</v>
      </c>
      <c r="AI8" s="313"/>
      <c r="AJ8" s="313"/>
      <c r="AK8" s="313"/>
      <c r="AL8" s="313"/>
      <c r="AM8" s="313"/>
      <c r="AN8" s="314"/>
      <c r="AO8" s="372" t="s">
        <v>40</v>
      </c>
      <c r="AP8" s="373" t="s">
        <v>41</v>
      </c>
      <c r="AQ8" s="374" t="s">
        <v>42</v>
      </c>
      <c r="AR8" s="375" t="s">
        <v>43</v>
      </c>
      <c r="AS8" s="367"/>
      <c r="AT8" s="367"/>
      <c r="AU8" s="363"/>
    </row>
    <row r="9" ht="31.5" customHeight="1" spans="1:47">
      <c r="A9" s="132"/>
      <c r="B9" s="133"/>
      <c r="C9" s="147"/>
      <c r="D9" s="147"/>
      <c r="E9" s="148"/>
      <c r="F9" s="149"/>
      <c r="G9" s="149"/>
      <c r="H9" s="150"/>
      <c r="I9" s="181"/>
      <c r="J9" s="185"/>
      <c r="K9" s="186"/>
      <c r="L9" s="187"/>
      <c r="M9" s="181"/>
      <c r="N9" s="185"/>
      <c r="O9" s="186"/>
      <c r="P9" s="186"/>
      <c r="Q9" s="187"/>
      <c r="R9" s="221"/>
      <c r="S9" s="222"/>
      <c r="T9" s="223"/>
      <c r="U9" s="223"/>
      <c r="V9" s="223"/>
      <c r="W9" s="225"/>
      <c r="X9" s="225"/>
      <c r="Y9" s="225"/>
      <c r="Z9" s="264"/>
      <c r="AA9" s="265"/>
      <c r="AB9" s="266"/>
      <c r="AC9" s="266"/>
      <c r="AD9" s="266"/>
      <c r="AE9" s="266"/>
      <c r="AF9" s="266"/>
      <c r="AG9" s="315"/>
      <c r="AH9" s="316"/>
      <c r="AI9" s="317"/>
      <c r="AJ9" s="317"/>
      <c r="AK9" s="317"/>
      <c r="AL9" s="317"/>
      <c r="AM9" s="317"/>
      <c r="AN9" s="318"/>
      <c r="AO9" s="376"/>
      <c r="AP9" s="377"/>
      <c r="AQ9" s="378"/>
      <c r="AR9" s="377"/>
      <c r="AS9" s="367"/>
      <c r="AT9" s="367"/>
      <c r="AU9" s="363"/>
    </row>
    <row r="10" ht="61.5" customHeight="1" spans="1:47">
      <c r="A10" s="132"/>
      <c r="B10" s="133"/>
      <c r="C10" s="147"/>
      <c r="D10" s="147"/>
      <c r="E10" s="148"/>
      <c r="F10" s="149"/>
      <c r="G10" s="149"/>
      <c r="H10" s="150"/>
      <c r="I10" s="181"/>
      <c r="J10" s="188"/>
      <c r="K10" s="189"/>
      <c r="L10" s="190"/>
      <c r="M10" s="181"/>
      <c r="N10" s="188"/>
      <c r="O10" s="189"/>
      <c r="P10" s="189"/>
      <c r="Q10" s="190"/>
      <c r="R10" s="221"/>
      <c r="S10" s="226"/>
      <c r="T10" s="224"/>
      <c r="U10" s="224"/>
      <c r="V10" s="224"/>
      <c r="W10" s="225"/>
      <c r="X10" s="227"/>
      <c r="Y10" s="227"/>
      <c r="Z10" s="267"/>
      <c r="AA10" s="224" t="s">
        <v>44</v>
      </c>
      <c r="AB10" s="224" t="s">
        <v>45</v>
      </c>
      <c r="AC10" s="224" t="s">
        <v>46</v>
      </c>
      <c r="AD10" s="224" t="s">
        <v>47</v>
      </c>
      <c r="AE10" s="268" t="s">
        <v>48</v>
      </c>
      <c r="AF10" s="268" t="s">
        <v>49</v>
      </c>
      <c r="AG10" s="268" t="s">
        <v>50</v>
      </c>
      <c r="AH10" s="319" t="s">
        <v>44</v>
      </c>
      <c r="AI10" s="319" t="s">
        <v>45</v>
      </c>
      <c r="AJ10" s="319" t="s">
        <v>46</v>
      </c>
      <c r="AK10" s="319" t="s">
        <v>47</v>
      </c>
      <c r="AL10" s="320" t="s">
        <v>48</v>
      </c>
      <c r="AM10" s="320" t="s">
        <v>49</v>
      </c>
      <c r="AN10" s="320" t="s">
        <v>50</v>
      </c>
      <c r="AO10" s="376"/>
      <c r="AP10" s="379"/>
      <c r="AQ10" s="380"/>
      <c r="AR10" s="379"/>
      <c r="AS10" s="367"/>
      <c r="AT10" s="367"/>
      <c r="AU10" s="363"/>
    </row>
    <row r="11" ht="26.25" customHeight="1" spans="1:47">
      <c r="A11" s="132"/>
      <c r="B11" s="133"/>
      <c r="C11" s="151" t="s">
        <v>51</v>
      </c>
      <c r="D11" s="152" t="s">
        <v>52</v>
      </c>
      <c r="E11" s="151">
        <v>2</v>
      </c>
      <c r="F11" s="151">
        <v>2</v>
      </c>
      <c r="G11" s="151">
        <v>2</v>
      </c>
      <c r="H11" s="153">
        <f>E11+F11+G11</f>
        <v>6</v>
      </c>
      <c r="I11" s="191">
        <v>6</v>
      </c>
      <c r="J11" s="192">
        <v>2</v>
      </c>
      <c r="K11" s="151">
        <v>0</v>
      </c>
      <c r="L11" s="193">
        <f>SUM(J11:K13)</f>
        <v>2</v>
      </c>
      <c r="M11" s="191">
        <v>4</v>
      </c>
      <c r="N11" s="194">
        <v>5</v>
      </c>
      <c r="O11" s="195">
        <v>5</v>
      </c>
      <c r="P11" s="195">
        <v>5</v>
      </c>
      <c r="Q11" s="201">
        <f>SUM(N11:P13)</f>
        <v>15</v>
      </c>
      <c r="R11" s="191">
        <v>15</v>
      </c>
      <c r="S11" s="195">
        <v>585</v>
      </c>
      <c r="T11" s="195">
        <v>585</v>
      </c>
      <c r="U11" s="195">
        <v>585</v>
      </c>
      <c r="V11" s="195">
        <v>584</v>
      </c>
      <c r="W11" s="195">
        <v>584</v>
      </c>
      <c r="X11" s="228"/>
      <c r="Y11" s="269"/>
      <c r="Z11" s="195">
        <v>0</v>
      </c>
      <c r="AA11" s="270">
        <f>S11/W11</f>
        <v>1.00171232876712</v>
      </c>
      <c r="AB11" s="270">
        <f>T11/W11</f>
        <v>1.00171232876712</v>
      </c>
      <c r="AC11" s="271">
        <f>U11/W11</f>
        <v>1.00171232876712</v>
      </c>
      <c r="AD11" s="272">
        <f>V11/W11</f>
        <v>1</v>
      </c>
      <c r="AE11" s="273"/>
      <c r="AF11" s="274"/>
      <c r="AG11" s="270">
        <f>Z11/W11</f>
        <v>0</v>
      </c>
      <c r="AH11" s="321" t="str">
        <f>IF(AND(AA11&gt;=10%,AA11&lt;=19%),"1",IF(AND(AA11&gt;=20%,AA11&lt;=29%),"2",IF(AND(AA11&gt;=30%,AA11&lt;=39%),"3",IF(AND(AA11&gt;=40%,AA11&lt;=49%),"4",IF(AND(AA11&gt;=50%,AA11&lt;=59%),"5",IF(AND(AA11&gt;=60%,AA11&lt;=69%),"6",IF(AND(AA11&gt;=70%,AA11&lt;=79%),"7",IF(AND(AA11&gt;=80%,AA11&lt;=89%),"8",IF(AND(AA11&gt;=90%,AA11&lt;=99%),"9",IF(AND(AA11&gt;=100%,AA11&lt;=105%),"10",IF(AND(AA11&gt;=106%),"0","0")))))))))))</f>
        <v>10</v>
      </c>
      <c r="AI11" s="321"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321" t="str">
        <f t="shared" si="0"/>
        <v>10</v>
      </c>
      <c r="AK11" s="321" t="str">
        <f t="shared" si="0"/>
        <v>10</v>
      </c>
      <c r="AL11" s="322"/>
      <c r="AM11" s="323"/>
      <c r="AN11" s="321" t="str">
        <f t="shared" si="0"/>
        <v>0</v>
      </c>
      <c r="AO11" s="381">
        <f>AH11+AI11+AJ11+AK11+AL11+AN11</f>
        <v>40</v>
      </c>
      <c r="AP11" s="382">
        <v>50</v>
      </c>
      <c r="AQ11" s="383">
        <f>SUM(H11,L11,Q11,AO11)</f>
        <v>63</v>
      </c>
      <c r="AR11" s="384">
        <f>SUM(AP11,R11,M11,I11)</f>
        <v>75</v>
      </c>
      <c r="AS11" s="385"/>
      <c r="AT11" s="385"/>
      <c r="AU11" s="363"/>
    </row>
    <row r="12" ht="26.25" customHeight="1" spans="1:47">
      <c r="A12" s="132"/>
      <c r="B12" s="133"/>
      <c r="C12" s="151"/>
      <c r="D12" s="154"/>
      <c r="E12" s="151"/>
      <c r="F12" s="151"/>
      <c r="G12" s="151"/>
      <c r="H12" s="153"/>
      <c r="I12" s="191"/>
      <c r="J12" s="192"/>
      <c r="K12" s="151"/>
      <c r="L12" s="196"/>
      <c r="M12" s="191"/>
      <c r="N12" s="194"/>
      <c r="O12" s="195"/>
      <c r="P12" s="195"/>
      <c r="Q12" s="201"/>
      <c r="R12" s="191"/>
      <c r="S12" s="195"/>
      <c r="T12" s="195"/>
      <c r="U12" s="195"/>
      <c r="V12" s="195"/>
      <c r="W12" s="195"/>
      <c r="X12" s="229"/>
      <c r="Y12" s="269"/>
      <c r="Z12" s="195"/>
      <c r="AA12" s="275"/>
      <c r="AB12" s="275"/>
      <c r="AC12" s="276"/>
      <c r="AD12" s="272"/>
      <c r="AE12" s="273"/>
      <c r="AF12" s="277"/>
      <c r="AG12" s="275"/>
      <c r="AH12" s="324"/>
      <c r="AI12" s="324"/>
      <c r="AJ12" s="324"/>
      <c r="AK12" s="324"/>
      <c r="AL12" s="325"/>
      <c r="AM12" s="326"/>
      <c r="AN12" s="324"/>
      <c r="AO12" s="386"/>
      <c r="AP12" s="382"/>
      <c r="AQ12" s="387"/>
      <c r="AR12" s="384"/>
      <c r="AS12" s="385"/>
      <c r="AT12" s="385"/>
      <c r="AU12" s="363"/>
    </row>
    <row r="13" ht="26.25" customHeight="1" spans="1:47">
      <c r="A13" s="132"/>
      <c r="B13" s="133"/>
      <c r="C13" s="151"/>
      <c r="D13" s="155"/>
      <c r="E13" s="151"/>
      <c r="F13" s="151"/>
      <c r="G13" s="151"/>
      <c r="H13" s="153"/>
      <c r="I13" s="191"/>
      <c r="J13" s="192"/>
      <c r="K13" s="151"/>
      <c r="L13" s="197"/>
      <c r="M13" s="191"/>
      <c r="N13" s="194"/>
      <c r="O13" s="195"/>
      <c r="P13" s="195"/>
      <c r="Q13" s="201"/>
      <c r="R13" s="191"/>
      <c r="S13" s="195"/>
      <c r="T13" s="195"/>
      <c r="U13" s="195"/>
      <c r="V13" s="195"/>
      <c r="W13" s="195"/>
      <c r="X13" s="230"/>
      <c r="Y13" s="269"/>
      <c r="Z13" s="195"/>
      <c r="AA13" s="278"/>
      <c r="AB13" s="278"/>
      <c r="AC13" s="279"/>
      <c r="AD13" s="272"/>
      <c r="AE13" s="273"/>
      <c r="AF13" s="280"/>
      <c r="AG13" s="278"/>
      <c r="AH13" s="324"/>
      <c r="AI13" s="324"/>
      <c r="AJ13" s="324"/>
      <c r="AK13" s="324"/>
      <c r="AL13" s="325"/>
      <c r="AM13" s="327"/>
      <c r="AN13" s="324"/>
      <c r="AO13" s="388"/>
      <c r="AP13" s="382"/>
      <c r="AQ13" s="387"/>
      <c r="AR13" s="384"/>
      <c r="AS13" s="385"/>
      <c r="AT13" s="385"/>
      <c r="AU13" s="363"/>
    </row>
    <row r="14" ht="26.25" customHeight="1" spans="1:47">
      <c r="A14" s="132"/>
      <c r="B14" s="133"/>
      <c r="C14" s="151" t="s">
        <v>53</v>
      </c>
      <c r="D14" s="152" t="s">
        <v>54</v>
      </c>
      <c r="E14" s="151">
        <v>2</v>
      </c>
      <c r="F14" s="151">
        <v>2</v>
      </c>
      <c r="G14" s="151">
        <v>2</v>
      </c>
      <c r="H14" s="153">
        <f t="shared" ref="H14" si="1">E14+F14+G14</f>
        <v>6</v>
      </c>
      <c r="I14" s="191">
        <v>6</v>
      </c>
      <c r="J14" s="192">
        <v>2</v>
      </c>
      <c r="K14" s="151">
        <v>0</v>
      </c>
      <c r="L14" s="193">
        <f>SUM(J14:K16)</f>
        <v>2</v>
      </c>
      <c r="M14" s="191">
        <v>4</v>
      </c>
      <c r="N14" s="194">
        <v>5</v>
      </c>
      <c r="O14" s="195">
        <v>5</v>
      </c>
      <c r="P14" s="195">
        <v>5</v>
      </c>
      <c r="Q14" s="201">
        <f>SUM(N14:P16)</f>
        <v>15</v>
      </c>
      <c r="R14" s="191">
        <v>15</v>
      </c>
      <c r="S14" s="195">
        <v>8</v>
      </c>
      <c r="T14" s="195">
        <v>8</v>
      </c>
      <c r="U14" s="195">
        <v>8</v>
      </c>
      <c r="V14" s="195">
        <v>8</v>
      </c>
      <c r="W14" s="195">
        <v>8</v>
      </c>
      <c r="X14" s="228"/>
      <c r="Y14" s="269"/>
      <c r="Z14" s="195">
        <v>0</v>
      </c>
      <c r="AA14" s="270">
        <f>S14/W14</f>
        <v>1</v>
      </c>
      <c r="AB14" s="270">
        <f>T14/W14</f>
        <v>1</v>
      </c>
      <c r="AC14" s="271">
        <f>U14/W14</f>
        <v>1</v>
      </c>
      <c r="AD14" s="272">
        <f>V14/W14</f>
        <v>1</v>
      </c>
      <c r="AE14" s="273"/>
      <c r="AF14" s="274"/>
      <c r="AG14" s="270">
        <f>Z14/W14</f>
        <v>0</v>
      </c>
      <c r="AH14" s="324" t="str">
        <f>IF(AND(AA14&gt;=10%,AA14&lt;=19%),"1",IF(AND(AA14&gt;=20%,AA14&lt;=29%),"2",IF(AND(AA14&gt;=30%,AA14&lt;=39%),"3",IF(AND(AA14&gt;=40%,AA14&lt;=49%),"4",IF(AND(AA14&gt;=50%,AA14&lt;=59%),"5",IF(AND(AA14&gt;=60%,AA14&lt;=69%),"6",IF(AND(AA14&gt;=70%,AA14&lt;=79%),"7",IF(AND(AA14&gt;=80%,AA14&lt;=89%),"8",IF(AND(AA14&gt;=90%,AA14&lt;=99%),"9",IF(AND(AA14&gt;=100%,AA14&lt;=105%),"10",IF(AND(AA14&gt;=106%),"0","0")))))))))))</f>
        <v>10</v>
      </c>
      <c r="AI14" s="324"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28" t="str">
        <f t="shared" si="2"/>
        <v>10</v>
      </c>
      <c r="AK14" s="329" t="str">
        <f t="shared" si="2"/>
        <v>10</v>
      </c>
      <c r="AL14" s="325"/>
      <c r="AM14" s="330"/>
      <c r="AN14" s="331" t="str">
        <f>IF(AND(AG14&gt;=10%,AG14&lt;=19%),"1",IF(AND(AG14&gt;=20%,AG14&lt;=29%),"2",IF(AND(AG14&gt;=30%,AG14&lt;=39%),"3",IF(AND(AG14&gt;=40%,AG14&lt;=49%),"4",IF(AND(AG14&gt;=50%,AG14&lt;=59%),"5",IF(AND(AG14&gt;=60%,AG14&lt;=69%),"6",IF(AND(AG14&gt;=70%,AG14&lt;=79%),"7",IF(AND(AG14&gt;=80%,AG14&lt;=89%),"8",IF(AND(AG14&gt;=90%,AG14&lt;=99%),"9",IF(AND(AG14&gt;=100%,AG14&lt;=105%),"10",IF(AND(AG14&gt;=106%),"0","0")))))))))))</f>
        <v>0</v>
      </c>
      <c r="AO14" s="381">
        <f>AH14+AI14+AJ14+AK14+AL14+AN14</f>
        <v>40</v>
      </c>
      <c r="AP14" s="382">
        <v>50</v>
      </c>
      <c r="AQ14" s="383">
        <f>SUM(H14,L14,Q14,AO14)</f>
        <v>63</v>
      </c>
      <c r="AR14" s="384">
        <f t="shared" ref="AR14" si="3">SUM(AP14,R14,M14,I14)</f>
        <v>75</v>
      </c>
      <c r="AS14" s="389"/>
      <c r="AT14" s="385"/>
      <c r="AU14" s="363"/>
    </row>
    <row r="15" ht="18.75" customHeight="1" spans="1:47">
      <c r="A15" s="132"/>
      <c r="B15" s="133"/>
      <c r="C15" s="151"/>
      <c r="D15" s="154"/>
      <c r="E15" s="151"/>
      <c r="F15" s="151"/>
      <c r="G15" s="151"/>
      <c r="H15" s="153"/>
      <c r="I15" s="191"/>
      <c r="J15" s="192"/>
      <c r="K15" s="151"/>
      <c r="L15" s="196"/>
      <c r="M15" s="191"/>
      <c r="N15" s="194"/>
      <c r="O15" s="195"/>
      <c r="P15" s="195"/>
      <c r="Q15" s="201"/>
      <c r="R15" s="191"/>
      <c r="S15" s="195"/>
      <c r="T15" s="195"/>
      <c r="U15" s="195"/>
      <c r="V15" s="195"/>
      <c r="W15" s="195"/>
      <c r="X15" s="229"/>
      <c r="Y15" s="269"/>
      <c r="Z15" s="195"/>
      <c r="AA15" s="275"/>
      <c r="AB15" s="275"/>
      <c r="AC15" s="276"/>
      <c r="AD15" s="272"/>
      <c r="AE15" s="273"/>
      <c r="AF15" s="277"/>
      <c r="AG15" s="275"/>
      <c r="AH15" s="324"/>
      <c r="AI15" s="324"/>
      <c r="AJ15" s="328"/>
      <c r="AK15" s="331"/>
      <c r="AL15" s="325"/>
      <c r="AM15" s="330"/>
      <c r="AN15" s="331"/>
      <c r="AO15" s="386"/>
      <c r="AP15" s="382"/>
      <c r="AQ15" s="387"/>
      <c r="AR15" s="384"/>
      <c r="AS15" s="390"/>
      <c r="AT15" s="385"/>
      <c r="AU15" s="363"/>
    </row>
    <row r="16" ht="18.75" customHeight="1" spans="1:47">
      <c r="A16" s="132"/>
      <c r="B16" s="133"/>
      <c r="C16" s="151"/>
      <c r="D16" s="155"/>
      <c r="E16" s="151"/>
      <c r="F16" s="151"/>
      <c r="G16" s="151"/>
      <c r="H16" s="153"/>
      <c r="I16" s="191"/>
      <c r="J16" s="192"/>
      <c r="K16" s="151"/>
      <c r="L16" s="197"/>
      <c r="M16" s="191"/>
      <c r="N16" s="194"/>
      <c r="O16" s="195"/>
      <c r="P16" s="195"/>
      <c r="Q16" s="201"/>
      <c r="R16" s="191"/>
      <c r="S16" s="195"/>
      <c r="T16" s="195"/>
      <c r="U16" s="195"/>
      <c r="V16" s="195"/>
      <c r="W16" s="195"/>
      <c r="X16" s="230"/>
      <c r="Y16" s="269"/>
      <c r="Z16" s="195"/>
      <c r="AA16" s="278"/>
      <c r="AB16" s="278"/>
      <c r="AC16" s="279"/>
      <c r="AD16" s="272"/>
      <c r="AE16" s="273"/>
      <c r="AF16" s="280"/>
      <c r="AG16" s="278"/>
      <c r="AH16" s="324"/>
      <c r="AI16" s="324"/>
      <c r="AJ16" s="328"/>
      <c r="AK16" s="321"/>
      <c r="AL16" s="325"/>
      <c r="AM16" s="330"/>
      <c r="AN16" s="321"/>
      <c r="AO16" s="388"/>
      <c r="AP16" s="391"/>
      <c r="AQ16" s="387"/>
      <c r="AR16" s="384"/>
      <c r="AS16" s="392"/>
      <c r="AT16" s="385"/>
      <c r="AU16" s="363"/>
    </row>
    <row r="17" ht="26.25" customHeight="1" spans="1:47">
      <c r="A17" s="132"/>
      <c r="B17" s="133"/>
      <c r="C17" s="156" t="s">
        <v>55</v>
      </c>
      <c r="D17" s="152" t="s">
        <v>56</v>
      </c>
      <c r="E17" s="151">
        <v>2</v>
      </c>
      <c r="F17" s="151">
        <v>2</v>
      </c>
      <c r="G17" s="151">
        <v>2</v>
      </c>
      <c r="H17" s="153">
        <f t="shared" ref="H17" si="4">E17+F17+G17</f>
        <v>6</v>
      </c>
      <c r="I17" s="198">
        <v>6</v>
      </c>
      <c r="J17" s="192">
        <v>2</v>
      </c>
      <c r="K17" s="151">
        <v>2</v>
      </c>
      <c r="L17" s="193">
        <f>SUM(J17:K19)</f>
        <v>4</v>
      </c>
      <c r="M17" s="198">
        <v>4</v>
      </c>
      <c r="N17" s="194">
        <v>5</v>
      </c>
      <c r="O17" s="195">
        <v>5</v>
      </c>
      <c r="P17" s="195">
        <v>5</v>
      </c>
      <c r="Q17" s="201">
        <f>SUM(N17:P19)</f>
        <v>15</v>
      </c>
      <c r="R17" s="198">
        <v>15</v>
      </c>
      <c r="S17" s="195">
        <v>142</v>
      </c>
      <c r="T17" s="195">
        <v>142</v>
      </c>
      <c r="U17" s="195">
        <v>142</v>
      </c>
      <c r="V17" s="231"/>
      <c r="W17" s="232">
        <v>142</v>
      </c>
      <c r="X17" s="233"/>
      <c r="Y17" s="231"/>
      <c r="Z17" s="231"/>
      <c r="AA17" s="270">
        <f>S17/W17</f>
        <v>1</v>
      </c>
      <c r="AB17" s="270">
        <f>T17/W17</f>
        <v>1</v>
      </c>
      <c r="AC17" s="270">
        <f>U17/W17</f>
        <v>1</v>
      </c>
      <c r="AD17" s="281"/>
      <c r="AE17" s="282"/>
      <c r="AF17" s="282"/>
      <c r="AG17" s="282"/>
      <c r="AH17" s="324" t="str">
        <f>IF(AND(AA17&gt;=10%,AA17&lt;=19%),"1",IF(AND(AA17&gt;=20%,AA17&lt;=29%),"2",IF(AND(AA17&gt;=30%,AA17&lt;=39%),"3",IF(AND(AA17&gt;=40%,AA17&lt;=49%),"4",IF(AND(AA17&gt;=50%,AA17&lt;=59%),"5",IF(AND(AA17&gt;=60%,AA17&lt;=69%),"6",IF(AND(AA17&gt;=70%,AA17&lt;=79%),"7",IF(AND(AA17&gt;=80%,AA17&lt;=89%),"8",IF(AND(AA17&gt;=90%,AA17&lt;=99%),"9",IF(AND(AA17&gt;=100%,AA17&lt;=105%),"10",IF(AND(AA17&gt;=106%),"0","0")))))))))))</f>
        <v>10</v>
      </c>
      <c r="AI17" s="324" t="str">
        <f>IF(AND(AB17&gt;=10%,AB17&lt;=19%),"1",IF(AND(AB17&gt;=20%,AB17&lt;=29%),"2",IF(AND(AB17&gt;=30%,AB17&lt;=39%),"3",IF(AND(AB17&gt;=40%,AB17&lt;=49%),"4",IF(AND(AB17&gt;=50%,AB17&lt;=59%),"5",IF(AND(AB17&gt;=60%,AB17&lt;=69%),"6",IF(AND(AB17&gt;=70%,AB17&lt;=79%),"7",IF(AND(AB17&gt;=80%,AB17&lt;=89%),"8",IF(AND(AB17&gt;=90%,AB17&lt;=99%),"9",IF(AND(AB17&gt;=100%,AB17&lt;=105%),"10",IF(AND(AB17&gt;=106%),"0","0")))))))))))</f>
        <v>10</v>
      </c>
      <c r="AJ17" s="324" t="str">
        <f>IF(AND(AC17&gt;=10%,AC17&lt;=19%),"1",IF(AND(AC17&gt;=20%,AC17&lt;=29%),"2",IF(AND(AC17&gt;=30%,AC17&lt;=39%),"3",IF(AND(AC17&gt;=40%,AC17&lt;=49%),"4",IF(AND(AC17&gt;=50%,AC17&lt;=59%),"5",IF(AND(AC17&gt;=60%,AC17&lt;=69%),"6",IF(AND(AC17&gt;=70%,AC17&lt;=79%),"7",IF(AND(AC17&gt;=80%,AC17&lt;=89%),"8",IF(AND(AC17&gt;=90%,AC17&lt;=99%),"9",IF(AND(AC17&gt;=100%,AC17&lt;=105%),"10",IF(AND(AC17&gt;=106%),"0","0")))))))))))</f>
        <v>10</v>
      </c>
      <c r="AK17" s="332"/>
      <c r="AL17" s="332"/>
      <c r="AM17" s="332"/>
      <c r="AN17" s="333"/>
      <c r="AO17" s="381">
        <f>AH17+AI17+AJ17</f>
        <v>30</v>
      </c>
      <c r="AP17" s="391">
        <v>30</v>
      </c>
      <c r="AQ17" s="383">
        <f>SUM(H17,L17,Q17,AO17)</f>
        <v>55</v>
      </c>
      <c r="AR17" s="384">
        <f t="shared" ref="AR17" si="5">SUM(AP17,R17,M17,I17)</f>
        <v>55</v>
      </c>
      <c r="AS17" s="389"/>
      <c r="AT17" s="389"/>
      <c r="AU17" s="363"/>
    </row>
    <row r="18" ht="26.25" customHeight="1" spans="1:47">
      <c r="A18" s="132"/>
      <c r="B18" s="133"/>
      <c r="C18" s="157"/>
      <c r="D18" s="154"/>
      <c r="E18" s="151"/>
      <c r="F18" s="151"/>
      <c r="G18" s="151"/>
      <c r="H18" s="153"/>
      <c r="I18" s="199"/>
      <c r="J18" s="192"/>
      <c r="K18" s="151"/>
      <c r="L18" s="196"/>
      <c r="M18" s="199"/>
      <c r="N18" s="194"/>
      <c r="O18" s="195"/>
      <c r="P18" s="195"/>
      <c r="Q18" s="201"/>
      <c r="R18" s="199"/>
      <c r="S18" s="195"/>
      <c r="T18" s="195"/>
      <c r="U18" s="195"/>
      <c r="V18" s="234"/>
      <c r="W18" s="235"/>
      <c r="X18" s="236"/>
      <c r="Y18" s="234"/>
      <c r="Z18" s="234"/>
      <c r="AA18" s="275"/>
      <c r="AB18" s="275"/>
      <c r="AC18" s="275"/>
      <c r="AD18" s="283"/>
      <c r="AE18" s="284"/>
      <c r="AF18" s="284"/>
      <c r="AG18" s="284"/>
      <c r="AH18" s="324"/>
      <c r="AI18" s="324"/>
      <c r="AJ18" s="324"/>
      <c r="AK18" s="332"/>
      <c r="AL18" s="332"/>
      <c r="AM18" s="332"/>
      <c r="AN18" s="334"/>
      <c r="AO18" s="386"/>
      <c r="AP18" s="393"/>
      <c r="AQ18" s="387"/>
      <c r="AR18" s="384"/>
      <c r="AS18" s="390"/>
      <c r="AT18" s="390"/>
      <c r="AU18" s="363"/>
    </row>
    <row r="19" ht="26.25" customHeight="1" spans="1:47">
      <c r="A19" s="132"/>
      <c r="B19" s="133"/>
      <c r="C19" s="158"/>
      <c r="D19" s="155"/>
      <c r="E19" s="151"/>
      <c r="F19" s="151"/>
      <c r="G19" s="151"/>
      <c r="H19" s="153"/>
      <c r="I19" s="200"/>
      <c r="J19" s="192"/>
      <c r="K19" s="151"/>
      <c r="L19" s="197"/>
      <c r="M19" s="200"/>
      <c r="N19" s="194"/>
      <c r="O19" s="195"/>
      <c r="P19" s="195"/>
      <c r="Q19" s="201"/>
      <c r="R19" s="200"/>
      <c r="S19" s="195"/>
      <c r="T19" s="195"/>
      <c r="U19" s="195"/>
      <c r="V19" s="237"/>
      <c r="W19" s="238"/>
      <c r="X19" s="239"/>
      <c r="Y19" s="237"/>
      <c r="Z19" s="237"/>
      <c r="AA19" s="278"/>
      <c r="AB19" s="278"/>
      <c r="AC19" s="278"/>
      <c r="AD19" s="285"/>
      <c r="AE19" s="286"/>
      <c r="AF19" s="286"/>
      <c r="AG19" s="286"/>
      <c r="AH19" s="324"/>
      <c r="AI19" s="324"/>
      <c r="AJ19" s="324"/>
      <c r="AK19" s="332"/>
      <c r="AL19" s="332"/>
      <c r="AM19" s="332"/>
      <c r="AN19" s="335"/>
      <c r="AO19" s="386"/>
      <c r="AP19" s="394"/>
      <c r="AQ19" s="387"/>
      <c r="AR19" s="384"/>
      <c r="AS19" s="392"/>
      <c r="AT19" s="392"/>
      <c r="AU19" s="363"/>
    </row>
    <row r="20" ht="41.95" customHeight="1" spans="1:51">
      <c r="A20" s="132"/>
      <c r="B20" s="133"/>
      <c r="C20" s="156" t="s">
        <v>57</v>
      </c>
      <c r="D20" s="159" t="s">
        <v>58</v>
      </c>
      <c r="E20" s="156">
        <v>2</v>
      </c>
      <c r="F20" s="156">
        <v>2</v>
      </c>
      <c r="G20" s="156">
        <v>2</v>
      </c>
      <c r="H20" s="160">
        <f t="shared" ref="H20" si="6">E20+F20+G20</f>
        <v>6</v>
      </c>
      <c r="I20" s="198">
        <v>6</v>
      </c>
      <c r="J20" s="156">
        <v>2</v>
      </c>
      <c r="K20" s="156">
        <v>2</v>
      </c>
      <c r="L20" s="193">
        <f>SUM(J20:K20)</f>
        <v>4</v>
      </c>
      <c r="M20" s="198">
        <v>4</v>
      </c>
      <c r="N20" s="156">
        <v>5</v>
      </c>
      <c r="O20" s="156">
        <v>5</v>
      </c>
      <c r="P20" s="156">
        <v>5</v>
      </c>
      <c r="Q20" s="193">
        <v>15</v>
      </c>
      <c r="R20" s="198">
        <v>15</v>
      </c>
      <c r="S20" s="156">
        <v>6</v>
      </c>
      <c r="T20" s="156">
        <v>6</v>
      </c>
      <c r="U20" s="156">
        <v>6</v>
      </c>
      <c r="V20" s="233"/>
      <c r="W20" s="156">
        <v>6</v>
      </c>
      <c r="X20" s="233"/>
      <c r="Y20" s="287"/>
      <c r="Z20" s="233"/>
      <c r="AA20" s="270">
        <f>S20/W20</f>
        <v>1</v>
      </c>
      <c r="AB20" s="270">
        <f>T20/W20</f>
        <v>1</v>
      </c>
      <c r="AC20" s="270">
        <f>U20/W20</f>
        <v>1</v>
      </c>
      <c r="AD20" s="281"/>
      <c r="AE20" s="281"/>
      <c r="AF20" s="274"/>
      <c r="AG20" s="282"/>
      <c r="AH20" s="329"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329" t="str">
        <f t="shared" si="7"/>
        <v>10</v>
      </c>
      <c r="AJ20" s="329" t="str">
        <f t="shared" si="7"/>
        <v>10</v>
      </c>
      <c r="AK20" s="333"/>
      <c r="AL20" s="333"/>
      <c r="AM20" s="336"/>
      <c r="AN20" s="333"/>
      <c r="AO20" s="381">
        <f>AH20+AI20+AJ20+AM20</f>
        <v>30</v>
      </c>
      <c r="AP20" s="391">
        <v>30</v>
      </c>
      <c r="AQ20" s="395">
        <f>SUM(H20,L20,Q20,AO20)</f>
        <v>55</v>
      </c>
      <c r="AR20" s="396">
        <f t="shared" ref="AR20" si="8">SUM(AP20,R20,M20,I20)</f>
        <v>55</v>
      </c>
      <c r="AS20" s="389"/>
      <c r="AT20" s="389"/>
      <c r="AU20" s="397"/>
      <c r="AV20" s="126"/>
      <c r="AW20" s="126"/>
      <c r="AX20" s="126"/>
      <c r="AY20" s="126"/>
    </row>
    <row r="21" ht="41.95" customHeight="1" spans="1:51">
      <c r="A21" s="132"/>
      <c r="B21" s="133"/>
      <c r="C21" s="157"/>
      <c r="D21" s="159" t="s">
        <v>59</v>
      </c>
      <c r="E21" s="156">
        <v>2</v>
      </c>
      <c r="F21" s="156">
        <v>2</v>
      </c>
      <c r="G21" s="156">
        <v>2</v>
      </c>
      <c r="H21" s="160">
        <f t="shared" ref="H21:H23" si="9">E21+F21+G21</f>
        <v>6</v>
      </c>
      <c r="I21" s="198">
        <v>6</v>
      </c>
      <c r="J21" s="156">
        <v>2</v>
      </c>
      <c r="K21" s="156">
        <v>2</v>
      </c>
      <c r="L21" s="193">
        <f>SUM(J21:K21)</f>
        <v>4</v>
      </c>
      <c r="M21" s="198">
        <v>4</v>
      </c>
      <c r="N21" s="156">
        <v>5</v>
      </c>
      <c r="O21" s="156">
        <v>5</v>
      </c>
      <c r="P21" s="156">
        <v>5</v>
      </c>
      <c r="Q21" s="193">
        <v>15</v>
      </c>
      <c r="R21" s="198">
        <v>15</v>
      </c>
      <c r="S21" s="156">
        <v>0</v>
      </c>
      <c r="T21" s="156">
        <v>0</v>
      </c>
      <c r="U21" s="156">
        <v>0</v>
      </c>
      <c r="V21" s="233"/>
      <c r="W21" s="156">
        <v>0</v>
      </c>
      <c r="X21" s="233"/>
      <c r="Y21" s="287"/>
      <c r="Z21" s="233"/>
      <c r="AA21" s="270" t="e">
        <f>S21/W21</f>
        <v>#DIV/0!</v>
      </c>
      <c r="AB21" s="270" t="e">
        <f>T21/W21</f>
        <v>#DIV/0!</v>
      </c>
      <c r="AC21" s="270" t="e">
        <f>U21/W21</f>
        <v>#DIV/0!</v>
      </c>
      <c r="AD21" s="281"/>
      <c r="AE21" s="281"/>
      <c r="AF21" s="274"/>
      <c r="AG21" s="282"/>
      <c r="AH21" s="329" t="e">
        <f t="shared" si="7"/>
        <v>#DIV/0!</v>
      </c>
      <c r="AI21" s="329" t="e">
        <f t="shared" si="7"/>
        <v>#DIV/0!</v>
      </c>
      <c r="AJ21" s="329" t="e">
        <f t="shared" si="7"/>
        <v>#DIV/0!</v>
      </c>
      <c r="AK21" s="333"/>
      <c r="AL21" s="333"/>
      <c r="AM21" s="336"/>
      <c r="AN21" s="333"/>
      <c r="AO21" s="381">
        <v>30</v>
      </c>
      <c r="AP21" s="391">
        <v>30</v>
      </c>
      <c r="AQ21" s="395">
        <f>SUM(H21,L21,Q21,AO21)</f>
        <v>55</v>
      </c>
      <c r="AR21" s="396">
        <f t="shared" ref="AR21:AR23" si="10">SUM(AP21,R21,M21,I21)</f>
        <v>55</v>
      </c>
      <c r="AS21" s="390"/>
      <c r="AT21" s="390"/>
      <c r="AU21" s="397"/>
      <c r="AV21" s="126"/>
      <c r="AW21" s="126"/>
      <c r="AX21" s="126"/>
      <c r="AY21" s="126"/>
    </row>
    <row r="22" ht="41.95" customHeight="1" spans="1:51">
      <c r="A22" s="132"/>
      <c r="B22" s="133"/>
      <c r="C22" s="157"/>
      <c r="D22" s="159" t="s">
        <v>60</v>
      </c>
      <c r="E22" s="156">
        <v>2</v>
      </c>
      <c r="F22" s="156">
        <v>2</v>
      </c>
      <c r="G22" s="156">
        <v>2</v>
      </c>
      <c r="H22" s="160">
        <f t="shared" si="9"/>
        <v>6</v>
      </c>
      <c r="I22" s="198">
        <v>6</v>
      </c>
      <c r="J22" s="156">
        <v>2</v>
      </c>
      <c r="K22" s="156">
        <v>2</v>
      </c>
      <c r="L22" s="193">
        <f>SUM(J22:K22)</f>
        <v>4</v>
      </c>
      <c r="M22" s="198">
        <v>4</v>
      </c>
      <c r="N22" s="156">
        <v>5</v>
      </c>
      <c r="O22" s="156">
        <v>5</v>
      </c>
      <c r="P22" s="156">
        <v>5</v>
      </c>
      <c r="Q22" s="193">
        <v>15</v>
      </c>
      <c r="R22" s="198">
        <v>15</v>
      </c>
      <c r="S22" s="156">
        <v>0</v>
      </c>
      <c r="T22" s="156">
        <v>0</v>
      </c>
      <c r="U22" s="156">
        <v>0</v>
      </c>
      <c r="V22" s="233"/>
      <c r="W22" s="156">
        <v>0</v>
      </c>
      <c r="X22" s="233"/>
      <c r="Y22" s="287"/>
      <c r="Z22" s="233"/>
      <c r="AA22" s="270" t="e">
        <f>S22/W22</f>
        <v>#DIV/0!</v>
      </c>
      <c r="AB22" s="270" t="e">
        <f>T22/W22</f>
        <v>#DIV/0!</v>
      </c>
      <c r="AC22" s="270" t="e">
        <f>U22/W22</f>
        <v>#DIV/0!</v>
      </c>
      <c r="AD22" s="281"/>
      <c r="AE22" s="281"/>
      <c r="AF22" s="288"/>
      <c r="AG22" s="282"/>
      <c r="AH22" s="329" t="e">
        <f t="shared" si="7"/>
        <v>#DIV/0!</v>
      </c>
      <c r="AI22" s="329" t="e">
        <f t="shared" si="7"/>
        <v>#DIV/0!</v>
      </c>
      <c r="AJ22" s="329" t="e">
        <f t="shared" si="7"/>
        <v>#DIV/0!</v>
      </c>
      <c r="AK22" s="333"/>
      <c r="AL22" s="333"/>
      <c r="AM22" s="337"/>
      <c r="AN22" s="333"/>
      <c r="AO22" s="381">
        <v>30</v>
      </c>
      <c r="AP22" s="391">
        <v>30</v>
      </c>
      <c r="AQ22" s="395">
        <f>SUM(H22,L22,Q22,AO22)</f>
        <v>55</v>
      </c>
      <c r="AR22" s="396">
        <f t="shared" si="10"/>
        <v>55</v>
      </c>
      <c r="AS22" s="390"/>
      <c r="AT22" s="390"/>
      <c r="AU22" s="397"/>
      <c r="AV22" s="126"/>
      <c r="AW22" s="126"/>
      <c r="AX22" s="126"/>
      <c r="AY22" s="126"/>
    </row>
    <row r="23" ht="41.95" customHeight="1" spans="1:51">
      <c r="A23" s="132"/>
      <c r="B23" s="133"/>
      <c r="C23" s="158"/>
      <c r="D23" s="159" t="s">
        <v>61</v>
      </c>
      <c r="E23" s="156">
        <v>2</v>
      </c>
      <c r="F23" s="156">
        <v>2</v>
      </c>
      <c r="G23" s="156">
        <v>2</v>
      </c>
      <c r="H23" s="160">
        <f t="shared" si="9"/>
        <v>6</v>
      </c>
      <c r="I23" s="198">
        <v>6</v>
      </c>
      <c r="J23" s="156">
        <v>2</v>
      </c>
      <c r="K23" s="156">
        <v>2</v>
      </c>
      <c r="L23" s="193">
        <f>SUM(J23:K23)</f>
        <v>4</v>
      </c>
      <c r="M23" s="198">
        <v>4</v>
      </c>
      <c r="N23" s="156">
        <v>5</v>
      </c>
      <c r="O23" s="156">
        <v>5</v>
      </c>
      <c r="P23" s="156">
        <v>5</v>
      </c>
      <c r="Q23" s="193">
        <v>15</v>
      </c>
      <c r="R23" s="198">
        <v>15</v>
      </c>
      <c r="S23" s="156">
        <v>0</v>
      </c>
      <c r="T23" s="156">
        <v>0</v>
      </c>
      <c r="U23" s="156">
        <v>0</v>
      </c>
      <c r="V23" s="233"/>
      <c r="W23" s="156">
        <v>0</v>
      </c>
      <c r="X23" s="233"/>
      <c r="Y23" s="255"/>
      <c r="Z23" s="233"/>
      <c r="AA23" s="270" t="e">
        <f>S23/W23</f>
        <v>#DIV/0!</v>
      </c>
      <c r="AB23" s="270" t="e">
        <f>T23/W23</f>
        <v>#DIV/0!</v>
      </c>
      <c r="AC23" s="270" t="e">
        <f>U23/W23</f>
        <v>#DIV/0!</v>
      </c>
      <c r="AD23" s="281"/>
      <c r="AE23" s="281"/>
      <c r="AF23" s="270" t="e">
        <f t="shared" ref="AF21:AF23" si="11">Y23/W23</f>
        <v>#DIV/0!</v>
      </c>
      <c r="AG23" s="282"/>
      <c r="AH23" s="329" t="e">
        <f t="shared" si="7"/>
        <v>#DIV/0!</v>
      </c>
      <c r="AI23" s="329" t="e">
        <f t="shared" si="7"/>
        <v>#DIV/0!</v>
      </c>
      <c r="AJ23" s="329" t="e">
        <f t="shared" si="7"/>
        <v>#DIV/0!</v>
      </c>
      <c r="AK23" s="333"/>
      <c r="AL23" s="333"/>
      <c r="AM23" s="329" t="e">
        <f>IF(AND(AF23&gt;=10%,AF23&lt;=19%),"1",IF(AND(AF23&gt;=20%,AF23&lt;=29%),"2",IF(AND(AF23&gt;=30%,AF23&lt;=39%),"3",IF(AND(AF23&gt;=40%,AF23&lt;=49%),"4",IF(AND(AF23&gt;=50%,AF23&lt;=59%),"5",IF(AND(AF23&gt;=60%,AF23&lt;=69%),"6",IF(AND(AF23&gt;=70%,AF23&lt;=79%),"7",IF(AND(AF23&gt;=80%,AF23&lt;=89%),"8",IF(AND(AF23&gt;=90%,AF23&lt;=99%),"9",IF(AND(AF23&gt;=100%,AF23&lt;=105%),"10",IF(AND(AF23&gt;=106%),"0","0")))))))))))</f>
        <v>#DIV/0!</v>
      </c>
      <c r="AN23" s="333"/>
      <c r="AO23" s="381">
        <v>40</v>
      </c>
      <c r="AP23" s="391">
        <v>40</v>
      </c>
      <c r="AQ23" s="395">
        <f>SUM(H23,L23,Q23,AO23)</f>
        <v>65</v>
      </c>
      <c r="AR23" s="396">
        <f t="shared" si="10"/>
        <v>65</v>
      </c>
      <c r="AS23" s="392"/>
      <c r="AT23" s="392"/>
      <c r="AU23" s="397"/>
      <c r="AV23" s="126"/>
      <c r="AW23" s="126"/>
      <c r="AX23" s="126"/>
      <c r="AY23" s="126"/>
    </row>
    <row r="24" ht="26.25" customHeight="1" spans="1:47">
      <c r="A24" s="132"/>
      <c r="B24" s="133"/>
      <c r="C24" s="156" t="s">
        <v>62</v>
      </c>
      <c r="D24" s="152" t="s">
        <v>63</v>
      </c>
      <c r="E24" s="151">
        <v>2</v>
      </c>
      <c r="F24" s="151">
        <v>2</v>
      </c>
      <c r="G24" s="151">
        <v>2</v>
      </c>
      <c r="H24" s="153">
        <f t="shared" ref="H24" si="12">E24+F24+G24</f>
        <v>6</v>
      </c>
      <c r="I24" s="198">
        <v>6</v>
      </c>
      <c r="J24" s="156">
        <v>2</v>
      </c>
      <c r="K24" s="156">
        <v>2</v>
      </c>
      <c r="L24" s="193">
        <f>SUM(J24:K26)</f>
        <v>4</v>
      </c>
      <c r="M24" s="191">
        <v>4</v>
      </c>
      <c r="N24" s="194">
        <v>5</v>
      </c>
      <c r="O24" s="195">
        <v>5</v>
      </c>
      <c r="P24" s="195">
        <v>5</v>
      </c>
      <c r="Q24" s="201">
        <f>SUM(N24:P26)</f>
        <v>15</v>
      </c>
      <c r="R24" s="191">
        <v>15</v>
      </c>
      <c r="S24" s="195">
        <v>141</v>
      </c>
      <c r="T24" s="195">
        <v>141</v>
      </c>
      <c r="U24" s="240">
        <v>141</v>
      </c>
      <c r="V24" s="231"/>
      <c r="W24" s="240">
        <v>141</v>
      </c>
      <c r="X24" s="233"/>
      <c r="Y24" s="269"/>
      <c r="Z24" s="241"/>
      <c r="AA24" s="275">
        <f>S24/W24</f>
        <v>1</v>
      </c>
      <c r="AB24" s="275">
        <f>T24/W24</f>
        <v>1</v>
      </c>
      <c r="AC24" s="275">
        <f>U24/W24</f>
        <v>1</v>
      </c>
      <c r="AD24" s="273"/>
      <c r="AE24" s="289"/>
      <c r="AF24" s="290"/>
      <c r="AG24" s="282"/>
      <c r="AH24" s="324" t="str">
        <f t="shared" si="7"/>
        <v>10</v>
      </c>
      <c r="AI24" s="324" t="str">
        <f t="shared" si="7"/>
        <v>10</v>
      </c>
      <c r="AJ24" s="324" t="str">
        <f t="shared" si="7"/>
        <v>10</v>
      </c>
      <c r="AK24" s="325"/>
      <c r="AL24" s="337"/>
      <c r="AM24" s="325"/>
      <c r="AN24" s="333"/>
      <c r="AO24" s="381">
        <f>AH24+AI24+AJ24+AL24</f>
        <v>30</v>
      </c>
      <c r="AP24" s="382">
        <v>30</v>
      </c>
      <c r="AQ24" s="383">
        <f>SUM(H24,L24,Q24,AO24)</f>
        <v>55</v>
      </c>
      <c r="AR24" s="384">
        <f t="shared" ref="AR24:AR33" si="13">SUM(AP24,R24,M24,I24)</f>
        <v>55</v>
      </c>
      <c r="AS24" s="389"/>
      <c r="AT24" s="389"/>
      <c r="AU24" s="363"/>
    </row>
    <row r="25" ht="26.25" customHeight="1" spans="1:47">
      <c r="A25" s="132"/>
      <c r="B25" s="133"/>
      <c r="C25" s="157"/>
      <c r="D25" s="154"/>
      <c r="E25" s="151"/>
      <c r="F25" s="151"/>
      <c r="G25" s="151"/>
      <c r="H25" s="153"/>
      <c r="I25" s="199"/>
      <c r="J25" s="157"/>
      <c r="K25" s="157"/>
      <c r="L25" s="196"/>
      <c r="M25" s="191"/>
      <c r="N25" s="194"/>
      <c r="O25" s="195"/>
      <c r="P25" s="195"/>
      <c r="Q25" s="201"/>
      <c r="R25" s="191"/>
      <c r="S25" s="195"/>
      <c r="T25" s="195"/>
      <c r="U25" s="240"/>
      <c r="V25" s="234"/>
      <c r="W25" s="240"/>
      <c r="X25" s="236"/>
      <c r="Y25" s="269"/>
      <c r="Z25" s="241"/>
      <c r="AA25" s="275"/>
      <c r="AB25" s="275"/>
      <c r="AC25" s="275"/>
      <c r="AD25" s="273"/>
      <c r="AE25" s="289"/>
      <c r="AF25" s="290"/>
      <c r="AG25" s="284"/>
      <c r="AH25" s="324"/>
      <c r="AI25" s="324"/>
      <c r="AJ25" s="324"/>
      <c r="AK25" s="325"/>
      <c r="AL25" s="337"/>
      <c r="AM25" s="325"/>
      <c r="AN25" s="334"/>
      <c r="AO25" s="386"/>
      <c r="AP25" s="382"/>
      <c r="AQ25" s="387"/>
      <c r="AR25" s="384"/>
      <c r="AS25" s="390"/>
      <c r="AT25" s="390"/>
      <c r="AU25" s="363"/>
    </row>
    <row r="26" ht="26.25" customHeight="1" spans="1:47">
      <c r="A26" s="132"/>
      <c r="B26" s="133"/>
      <c r="C26" s="158"/>
      <c r="D26" s="155"/>
      <c r="E26" s="151"/>
      <c r="F26" s="151"/>
      <c r="G26" s="151"/>
      <c r="H26" s="153"/>
      <c r="I26" s="200"/>
      <c r="J26" s="158"/>
      <c r="K26" s="158"/>
      <c r="L26" s="197"/>
      <c r="M26" s="191"/>
      <c r="N26" s="194"/>
      <c r="O26" s="195"/>
      <c r="P26" s="195"/>
      <c r="Q26" s="201"/>
      <c r="R26" s="191"/>
      <c r="S26" s="195"/>
      <c r="T26" s="195"/>
      <c r="U26" s="240"/>
      <c r="V26" s="237"/>
      <c r="W26" s="240"/>
      <c r="X26" s="239"/>
      <c r="Y26" s="269"/>
      <c r="Z26" s="241"/>
      <c r="AA26" s="278"/>
      <c r="AB26" s="278"/>
      <c r="AC26" s="278"/>
      <c r="AD26" s="273"/>
      <c r="AE26" s="289"/>
      <c r="AF26" s="290"/>
      <c r="AG26" s="286"/>
      <c r="AH26" s="324"/>
      <c r="AI26" s="324"/>
      <c r="AJ26" s="324"/>
      <c r="AK26" s="325"/>
      <c r="AL26" s="337"/>
      <c r="AM26" s="325"/>
      <c r="AN26" s="335"/>
      <c r="AO26" s="388"/>
      <c r="AP26" s="382"/>
      <c r="AQ26" s="387"/>
      <c r="AR26" s="384"/>
      <c r="AS26" s="392"/>
      <c r="AT26" s="392"/>
      <c r="AU26" s="363"/>
    </row>
    <row r="27" ht="26.25" customHeight="1" spans="1:47">
      <c r="A27" s="132"/>
      <c r="B27" s="133"/>
      <c r="C27" s="156" t="s">
        <v>64</v>
      </c>
      <c r="D27" s="152" t="s">
        <v>65</v>
      </c>
      <c r="E27" s="151">
        <v>2</v>
      </c>
      <c r="F27" s="151">
        <v>2</v>
      </c>
      <c r="G27" s="151">
        <v>2</v>
      </c>
      <c r="H27" s="153">
        <f t="shared" ref="H27" si="14">E27+F27+G27</f>
        <v>6</v>
      </c>
      <c r="I27" s="198">
        <v>6</v>
      </c>
      <c r="J27" s="156">
        <v>2</v>
      </c>
      <c r="K27" s="156">
        <v>2</v>
      </c>
      <c r="L27" s="193">
        <f>SUM(J27:K29)</f>
        <v>4</v>
      </c>
      <c r="M27" s="191">
        <v>4</v>
      </c>
      <c r="N27" s="194">
        <v>5</v>
      </c>
      <c r="O27" s="195">
        <v>5</v>
      </c>
      <c r="P27" s="195">
        <v>5</v>
      </c>
      <c r="Q27" s="201">
        <f>SUM(N27:P29)</f>
        <v>15</v>
      </c>
      <c r="R27" s="191">
        <v>15</v>
      </c>
      <c r="S27" s="195">
        <v>141</v>
      </c>
      <c r="T27" s="195">
        <v>141</v>
      </c>
      <c r="U27" s="240">
        <v>141</v>
      </c>
      <c r="V27" s="195">
        <v>141</v>
      </c>
      <c r="W27" s="195">
        <v>141</v>
      </c>
      <c r="X27" s="241"/>
      <c r="Y27" s="269"/>
      <c r="Z27" s="195">
        <v>141</v>
      </c>
      <c r="AA27" s="270">
        <f>S27/W27</f>
        <v>1</v>
      </c>
      <c r="AB27" s="270">
        <f>T27/W27</f>
        <v>1</v>
      </c>
      <c r="AC27" s="270">
        <f>U27/W27</f>
        <v>1</v>
      </c>
      <c r="AD27" s="272">
        <f>V27/W27</f>
        <v>1</v>
      </c>
      <c r="AE27" s="289"/>
      <c r="AF27" s="290"/>
      <c r="AG27" s="338">
        <f>Z27/W27</f>
        <v>1</v>
      </c>
      <c r="AH27" s="339" t="str">
        <f>IF(AND(AA27&gt;=10%,AA27&lt;=19%),"1",IF(AND(AA27&gt;=20%,AA27&lt;=29%),"2",IF(AND(AA27&gt;=30%,AA27&lt;=39%),"3",IF(AND(AA27&gt;=40%,AA27&lt;=49%),"4",IF(AND(AA27&gt;=50%,AA27&lt;=59%),"5",IF(AND(AA27&gt;=60%,AA27&lt;=69%),"6",IF(AND(AA27&gt;=70%,AA27&lt;=79%),"7",IF(AND(AA27&gt;=80%,AA27&lt;=89%),"8",IF(AND(AA27&gt;=90%,AA27&lt;=99%),"9",IF(AND(AA27&gt;=100%,AA27&lt;=105%),"10",IF(AND(AA27&gt;=106%),"0","0")))))))))))</f>
        <v>10</v>
      </c>
      <c r="AI27" s="339" t="str">
        <f t="shared" ref="AI27:AL27" si="15">IF(AND(AB27&gt;=10%,AB27&lt;=19%),"1",IF(AND(AB27&gt;=20%,AB27&lt;=29%),"2",IF(AND(AB27&gt;=30%,AB27&lt;=39%),"3",IF(AND(AB27&gt;=40%,AB27&lt;=49%),"4",IF(AND(AB27&gt;=50%,AB27&lt;=59%),"5",IF(AND(AB27&gt;=60%,AB27&lt;=69%),"6",IF(AND(AB27&gt;=70%,AB27&lt;=79%),"7",IF(AND(AB27&gt;=80%,AB27&lt;=89%),"8",IF(AND(AB27&gt;=90%,AB27&lt;=99%),"9",IF(AND(AB27&gt;=100%,AB27&lt;=105%),"10",IF(AND(AB27&gt;=106%),"0","0")))))))))))</f>
        <v>10</v>
      </c>
      <c r="AJ27" s="339" t="str">
        <f t="shared" si="15"/>
        <v>10</v>
      </c>
      <c r="AK27" s="339" t="str">
        <f t="shared" si="15"/>
        <v>10</v>
      </c>
      <c r="AL27" s="337"/>
      <c r="AM27" s="325"/>
      <c r="AN27" s="340" t="str">
        <f>IF(AND(AG27&gt;=10%,AG27&lt;=19%),"1",IF(AND(AG27&gt;=20%,AG27&lt;=29%),"2",IF(AND(AG27&gt;=30%,AG27&lt;=39%),"3",IF(AND(AG27&gt;=40%,AG27&lt;=49%),"4",IF(AND(AG27&gt;=50%,AG27&lt;=59%),"5",IF(AND(AG27&gt;=60%,AG27&lt;=69%),"6",IF(AND(AG27&gt;=70%,AG27&lt;=79%),"7",IF(AND(AG27&gt;=80%,AG27&lt;=89%),"8",IF(AND(AG27&gt;=90%,AG27&lt;=99%),"9",IF(AND(AG27&gt;=100%,AG27&lt;=105%),"10",IF(AND(AG27&gt;=106%),"0","0")))))))))))</f>
        <v>10</v>
      </c>
      <c r="AO27" s="381">
        <f>AH27+AI27+AJ27+AK27+AL27+AN27</f>
        <v>50</v>
      </c>
      <c r="AP27" s="382">
        <v>50</v>
      </c>
      <c r="AQ27" s="383">
        <f>SUM(H27,L27,Q27,AO27)</f>
        <v>75</v>
      </c>
      <c r="AR27" s="384">
        <f t="shared" si="13"/>
        <v>75</v>
      </c>
      <c r="AS27" s="389"/>
      <c r="AT27" s="389"/>
      <c r="AU27" s="363"/>
    </row>
    <row r="28" ht="26.25" customHeight="1" spans="1:47">
      <c r="A28" s="132"/>
      <c r="B28" s="133"/>
      <c r="C28" s="157"/>
      <c r="D28" s="154"/>
      <c r="E28" s="151"/>
      <c r="F28" s="151"/>
      <c r="G28" s="151"/>
      <c r="H28" s="153"/>
      <c r="I28" s="199"/>
      <c r="J28" s="157"/>
      <c r="K28" s="157"/>
      <c r="L28" s="196"/>
      <c r="M28" s="191"/>
      <c r="N28" s="194"/>
      <c r="O28" s="195"/>
      <c r="P28" s="195"/>
      <c r="Q28" s="201"/>
      <c r="R28" s="191"/>
      <c r="S28" s="195"/>
      <c r="T28" s="195"/>
      <c r="U28" s="240"/>
      <c r="V28" s="195"/>
      <c r="W28" s="195"/>
      <c r="X28" s="241"/>
      <c r="Y28" s="269"/>
      <c r="Z28" s="195"/>
      <c r="AA28" s="275"/>
      <c r="AB28" s="275"/>
      <c r="AC28" s="275"/>
      <c r="AD28" s="272"/>
      <c r="AE28" s="289"/>
      <c r="AF28" s="290"/>
      <c r="AG28" s="341"/>
      <c r="AH28" s="339"/>
      <c r="AI28" s="339"/>
      <c r="AJ28" s="339"/>
      <c r="AK28" s="339"/>
      <c r="AL28" s="337"/>
      <c r="AM28" s="325"/>
      <c r="AN28" s="340"/>
      <c r="AO28" s="386"/>
      <c r="AP28" s="382"/>
      <c r="AQ28" s="387"/>
      <c r="AR28" s="384"/>
      <c r="AS28" s="390"/>
      <c r="AT28" s="390"/>
      <c r="AU28" s="363"/>
    </row>
    <row r="29" ht="26.25" customHeight="1" spans="1:47">
      <c r="A29" s="132"/>
      <c r="B29" s="133"/>
      <c r="C29" s="158"/>
      <c r="D29" s="155"/>
      <c r="E29" s="151"/>
      <c r="F29" s="151"/>
      <c r="G29" s="151"/>
      <c r="H29" s="153"/>
      <c r="I29" s="200"/>
      <c r="J29" s="158"/>
      <c r="K29" s="158"/>
      <c r="L29" s="197"/>
      <c r="M29" s="191"/>
      <c r="N29" s="194"/>
      <c r="O29" s="195"/>
      <c r="P29" s="195"/>
      <c r="Q29" s="201"/>
      <c r="R29" s="191"/>
      <c r="S29" s="195"/>
      <c r="T29" s="195"/>
      <c r="U29" s="240"/>
      <c r="V29" s="195"/>
      <c r="W29" s="195"/>
      <c r="X29" s="241"/>
      <c r="Y29" s="269"/>
      <c r="Z29" s="195"/>
      <c r="AA29" s="278"/>
      <c r="AB29" s="278"/>
      <c r="AC29" s="278"/>
      <c r="AD29" s="272"/>
      <c r="AE29" s="289"/>
      <c r="AF29" s="290"/>
      <c r="AG29" s="342"/>
      <c r="AH29" s="339"/>
      <c r="AI29" s="339"/>
      <c r="AJ29" s="339"/>
      <c r="AK29" s="339"/>
      <c r="AL29" s="337"/>
      <c r="AM29" s="325"/>
      <c r="AN29" s="343"/>
      <c r="AO29" s="388"/>
      <c r="AP29" s="382"/>
      <c r="AQ29" s="387"/>
      <c r="AR29" s="384"/>
      <c r="AS29" s="392"/>
      <c r="AT29" s="392"/>
      <c r="AU29" s="363"/>
    </row>
    <row r="30" ht="26.25" customHeight="1" spans="1:47">
      <c r="A30" s="132"/>
      <c r="B30" s="133"/>
      <c r="C30" s="156" t="s">
        <v>66</v>
      </c>
      <c r="D30" s="152" t="s">
        <v>67</v>
      </c>
      <c r="E30" s="151">
        <v>2</v>
      </c>
      <c r="F30" s="151">
        <v>2</v>
      </c>
      <c r="G30" s="151">
        <v>2</v>
      </c>
      <c r="H30" s="153">
        <f t="shared" ref="H30" si="16">E30+F30+G30</f>
        <v>6</v>
      </c>
      <c r="I30" s="198">
        <v>6</v>
      </c>
      <c r="J30" s="156">
        <v>2</v>
      </c>
      <c r="K30" s="156">
        <v>2</v>
      </c>
      <c r="L30" s="193">
        <f>SUM(J30:K32)</f>
        <v>4</v>
      </c>
      <c r="M30" s="198">
        <v>4</v>
      </c>
      <c r="N30" s="194">
        <v>5</v>
      </c>
      <c r="O30" s="195">
        <v>5</v>
      </c>
      <c r="P30" s="195">
        <v>5</v>
      </c>
      <c r="Q30" s="201">
        <f>SUM(N30:P32)</f>
        <v>15</v>
      </c>
      <c r="R30" s="198">
        <v>15</v>
      </c>
      <c r="S30" s="232">
        <v>4</v>
      </c>
      <c r="T30" s="232">
        <v>4</v>
      </c>
      <c r="U30" s="232">
        <v>4</v>
      </c>
      <c r="V30" s="232">
        <v>4</v>
      </c>
      <c r="W30" s="232">
        <v>4</v>
      </c>
      <c r="X30" s="233"/>
      <c r="Y30" s="233"/>
      <c r="Z30" s="228"/>
      <c r="AA30" s="270">
        <f>S30/W30</f>
        <v>1</v>
      </c>
      <c r="AB30" s="270">
        <f>T30/W30</f>
        <v>1</v>
      </c>
      <c r="AC30" s="270">
        <f>U30/W30</f>
        <v>1</v>
      </c>
      <c r="AD30" s="291">
        <f>V30/W30</f>
        <v>1</v>
      </c>
      <c r="AE30" s="292"/>
      <c r="AF30" s="282"/>
      <c r="AG30" s="338">
        <f>Z30/W30</f>
        <v>0</v>
      </c>
      <c r="AH30" s="329" t="str">
        <f>IF(AND(AA30&gt;=10%,AA30&lt;=19%),"1",IF(AND(AA30&gt;=20%,AA30&lt;=29%),"2",IF(AND(AA30&gt;=30%,AA30&lt;=39%),"3",IF(AND(AA30&gt;=40%,AA30&lt;=49%),"4",IF(AND(AA30&gt;=50%,AA30&lt;=59%),"5",IF(AND(AA30&gt;=60%,AA30&lt;=69%),"6",IF(AND(AA30&gt;=70%,AA30&lt;=79%),"7",IF(AND(AA30&gt;=80%,AA30&lt;=89%),"8",IF(AND(AA30&gt;=90%,AA30&lt;=99%),"9",IF(AND(AA30&gt;=100%,AA30&lt;=105%),"10",IF(AND(AA30&gt;=106%),"0","0")))))))))))</f>
        <v>10</v>
      </c>
      <c r="AI30" s="329" t="str">
        <f>IF(AND(AB30&gt;=10%,AB30&lt;=19%),"1",IF(AND(AB30&gt;=20%,AB30&lt;=29%),"2",IF(AND(AB30&gt;=30%,AB30&lt;=39%),"3",IF(AND(AB30&gt;=40%,AB30&lt;=49%),"4",IF(AND(AB30&gt;=50%,AB30&lt;=59%),"5",IF(AND(AB30&gt;=60%,AB30&lt;=69%),"6",IF(AND(AB30&gt;=70%,AB30&lt;=79%),"7",IF(AND(AB30&gt;=80%,AB30&lt;=89%),"8",IF(AND(AB30&gt;=90%,AB30&lt;=99%),"9",IF(AND(AB30&gt;=100%,AB30&lt;=105%),"10",IF(AND(AB30&gt;=106%),"0","0")))))))))))</f>
        <v>10</v>
      </c>
      <c r="AJ30" s="329" t="str">
        <f>IF(AND(AC30&gt;=10%,AC30&lt;=19%),"1",IF(AND(AC30&gt;=20%,AC30&lt;=29%),"2",IF(AND(AC30&gt;=30%,AC30&lt;=39%),"3",IF(AND(AC30&gt;=40%,AC30&lt;=49%),"4",IF(AND(AC30&gt;=50%,AC30&lt;=59%),"5",IF(AND(AC30&gt;=60%,AC30&lt;=69%),"6",IF(AND(AC30&gt;=70%,AC30&lt;=79%),"7",IF(AND(AC30&gt;=80%,AC30&lt;=89%),"8",IF(AND(AC30&gt;=90%,AC30&lt;=99%),"9",IF(AND(AC30&gt;=100%,AC30&lt;=105%),"10",IF(AND(AC30&gt;=106%),"0","0")))))))))))</f>
        <v>10</v>
      </c>
      <c r="AK30" s="344" t="str">
        <f>IF(AND(AD30&gt;=10%,AD30&lt;=19%),"1",IF(AND(AD30&gt;=20%,AD30&lt;=29%),"2",IF(AND(AD30&gt;=30%,AD30&lt;=39%),"3",IF(AND(AD30&gt;=40%,AD30&lt;=49%),"4",IF(AND(AD30&gt;=50%,AD30&lt;=59%),"5",IF(AND(AD30&gt;=60%,AD30&lt;=69%),"6",IF(AND(AD30&gt;=70%,AD30&lt;=79%),"7",IF(AND(AD30&gt;=80%,AD30&lt;=89%),"8",IF(AND(AD30&gt;=90%,AD30&lt;=99%),"9",IF(AND(AD30&gt;=100%,AD30&lt;=105%),"10",IF(AND(AD30&gt;=106%),"0","0")))))))))))</f>
        <v>10</v>
      </c>
      <c r="AL30" s="336"/>
      <c r="AM30" s="325"/>
      <c r="AN30" s="345"/>
      <c r="AO30" s="381">
        <f>AH30+AI30+AJ30+AK30+AL30+AN30</f>
        <v>40</v>
      </c>
      <c r="AP30" s="391">
        <v>40</v>
      </c>
      <c r="AQ30" s="383">
        <f>SUM(H30,L30,Q30,AO30)</f>
        <v>65</v>
      </c>
      <c r="AR30" s="384">
        <f t="shared" si="13"/>
        <v>65</v>
      </c>
      <c r="AS30" s="389"/>
      <c r="AT30" s="389"/>
      <c r="AU30" s="363"/>
    </row>
    <row r="31" ht="26.25" customHeight="1" spans="1:47">
      <c r="A31" s="132"/>
      <c r="B31" s="133"/>
      <c r="C31" s="157"/>
      <c r="D31" s="154"/>
      <c r="E31" s="151"/>
      <c r="F31" s="151"/>
      <c r="G31" s="151"/>
      <c r="H31" s="153"/>
      <c r="I31" s="199"/>
      <c r="J31" s="157"/>
      <c r="K31" s="157"/>
      <c r="L31" s="196"/>
      <c r="M31" s="199"/>
      <c r="N31" s="194"/>
      <c r="O31" s="195"/>
      <c r="P31" s="195"/>
      <c r="Q31" s="201"/>
      <c r="R31" s="199"/>
      <c r="S31" s="235"/>
      <c r="T31" s="235"/>
      <c r="U31" s="235"/>
      <c r="V31" s="235"/>
      <c r="W31" s="235"/>
      <c r="X31" s="236"/>
      <c r="Y31" s="236"/>
      <c r="Z31" s="229"/>
      <c r="AA31" s="275"/>
      <c r="AB31" s="275"/>
      <c r="AC31" s="275"/>
      <c r="AD31" s="293"/>
      <c r="AE31" s="294"/>
      <c r="AF31" s="284"/>
      <c r="AG31" s="341"/>
      <c r="AH31" s="331"/>
      <c r="AI31" s="331"/>
      <c r="AJ31" s="331"/>
      <c r="AK31" s="340"/>
      <c r="AL31" s="346"/>
      <c r="AM31" s="325"/>
      <c r="AN31" s="347"/>
      <c r="AO31" s="386"/>
      <c r="AP31" s="393"/>
      <c r="AQ31" s="387"/>
      <c r="AR31" s="384"/>
      <c r="AS31" s="390"/>
      <c r="AT31" s="390"/>
      <c r="AU31" s="363"/>
    </row>
    <row r="32" ht="26.25" customHeight="1" spans="1:47">
      <c r="A32" s="132"/>
      <c r="B32" s="133"/>
      <c r="C32" s="158"/>
      <c r="D32" s="155"/>
      <c r="E32" s="151"/>
      <c r="F32" s="151"/>
      <c r="G32" s="151"/>
      <c r="H32" s="153"/>
      <c r="I32" s="200"/>
      <c r="J32" s="158"/>
      <c r="K32" s="158"/>
      <c r="L32" s="197"/>
      <c r="M32" s="200"/>
      <c r="N32" s="194"/>
      <c r="O32" s="195"/>
      <c r="P32" s="195"/>
      <c r="Q32" s="201"/>
      <c r="R32" s="200"/>
      <c r="S32" s="238"/>
      <c r="T32" s="238"/>
      <c r="U32" s="238"/>
      <c r="V32" s="238"/>
      <c r="W32" s="238"/>
      <c r="X32" s="239"/>
      <c r="Y32" s="239"/>
      <c r="Z32" s="230"/>
      <c r="AA32" s="278"/>
      <c r="AB32" s="278"/>
      <c r="AC32" s="278"/>
      <c r="AD32" s="295"/>
      <c r="AE32" s="296"/>
      <c r="AF32" s="286"/>
      <c r="AG32" s="342"/>
      <c r="AH32" s="321"/>
      <c r="AI32" s="321"/>
      <c r="AJ32" s="321"/>
      <c r="AK32" s="343"/>
      <c r="AL32" s="348"/>
      <c r="AM32" s="325"/>
      <c r="AN32" s="349"/>
      <c r="AO32" s="388"/>
      <c r="AP32" s="394"/>
      <c r="AQ32" s="387"/>
      <c r="AR32" s="384"/>
      <c r="AS32" s="392"/>
      <c r="AT32" s="392"/>
      <c r="AU32" s="363"/>
    </row>
    <row r="33" ht="26.25" customHeight="1" spans="1:47">
      <c r="A33" s="132"/>
      <c r="B33" s="133"/>
      <c r="C33" s="156" t="s">
        <v>68</v>
      </c>
      <c r="D33" s="152" t="s">
        <v>69</v>
      </c>
      <c r="E33" s="151">
        <v>2</v>
      </c>
      <c r="F33" s="151">
        <v>2</v>
      </c>
      <c r="G33" s="151">
        <v>2</v>
      </c>
      <c r="H33" s="153">
        <f t="shared" ref="H33" si="17">E33+F33+G33</f>
        <v>6</v>
      </c>
      <c r="I33" s="198">
        <v>6</v>
      </c>
      <c r="J33" s="156">
        <v>2</v>
      </c>
      <c r="K33" s="156">
        <v>2</v>
      </c>
      <c r="L33" s="193">
        <f>SUM(J33:K35)</f>
        <v>4</v>
      </c>
      <c r="M33" s="191">
        <v>4</v>
      </c>
      <c r="N33" s="194">
        <v>5</v>
      </c>
      <c r="O33" s="195">
        <v>5</v>
      </c>
      <c r="P33" s="195">
        <v>5</v>
      </c>
      <c r="Q33" s="201">
        <f>SUM(N33:P35)</f>
        <v>15</v>
      </c>
      <c r="R33" s="191">
        <v>15</v>
      </c>
      <c r="S33" s="240">
        <v>4</v>
      </c>
      <c r="T33" s="240">
        <v>4</v>
      </c>
      <c r="U33" s="240">
        <v>4</v>
      </c>
      <c r="V33" s="241"/>
      <c r="W33" s="240">
        <v>4</v>
      </c>
      <c r="X33" s="233"/>
      <c r="Y33" s="195">
        <v>4</v>
      </c>
      <c r="Z33" s="241"/>
      <c r="AA33" s="270">
        <f>S33/W33</f>
        <v>1</v>
      </c>
      <c r="AB33" s="270">
        <f>T33/W33</f>
        <v>1</v>
      </c>
      <c r="AC33" s="270">
        <f>U33/W33</f>
        <v>1</v>
      </c>
      <c r="AD33" s="273"/>
      <c r="AE33" s="289"/>
      <c r="AF33" s="297">
        <f>Y33/W33</f>
        <v>1</v>
      </c>
      <c r="AG33" s="282"/>
      <c r="AH33" s="324" t="str">
        <f t="shared" ref="AH33:AJ33" si="18">IF(AND(AA33&gt;=10%,AA33&lt;=19%),"1",IF(AND(AA33&gt;=20%,AA33&lt;=29%),"2",IF(AND(AA33&gt;=30%,AA33&lt;=39%),"3",IF(AND(AA33&gt;=40%,AA33&lt;=49%),"4",IF(AND(AA33&gt;=50%,AA33&lt;=59%),"5",IF(AND(AA33&gt;=60%,AA33&lt;=69%),"6",IF(AND(AA33&gt;=70%,AA33&lt;=79%),"7",IF(AND(AA33&gt;=80%,AA33&lt;=89%),"8",IF(AND(AA33&gt;=90%,AA33&lt;=99%),"9",IF(AND(AA33&gt;=100%,AA33&lt;=105%),"10",IF(AND(AA33&gt;=106%),"0","0")))))))))))</f>
        <v>10</v>
      </c>
      <c r="AI33" s="324" t="str">
        <f t="shared" si="18"/>
        <v>10</v>
      </c>
      <c r="AJ33" s="324" t="str">
        <f t="shared" si="18"/>
        <v>10</v>
      </c>
      <c r="AK33" s="325"/>
      <c r="AL33" s="337"/>
      <c r="AM33" s="336"/>
      <c r="AN33" s="333"/>
      <c r="AO33" s="381">
        <f>AH33+AI33+AJ33+AL33+AM33</f>
        <v>30</v>
      </c>
      <c r="AP33" s="382">
        <v>30</v>
      </c>
      <c r="AQ33" s="383">
        <f>SUM(H33,L33,Q33,AO33)</f>
        <v>55</v>
      </c>
      <c r="AR33" s="384">
        <f t="shared" si="13"/>
        <v>55</v>
      </c>
      <c r="AS33" s="389"/>
      <c r="AT33" s="389"/>
      <c r="AU33" s="363"/>
    </row>
    <row r="34" ht="26.25" customHeight="1" spans="1:47">
      <c r="A34" s="132"/>
      <c r="B34" s="133"/>
      <c r="C34" s="157"/>
      <c r="D34" s="154"/>
      <c r="E34" s="151"/>
      <c r="F34" s="151"/>
      <c r="G34" s="151"/>
      <c r="H34" s="153"/>
      <c r="I34" s="199"/>
      <c r="J34" s="157"/>
      <c r="K34" s="157"/>
      <c r="L34" s="196"/>
      <c r="M34" s="191"/>
      <c r="N34" s="194"/>
      <c r="O34" s="195"/>
      <c r="P34" s="195"/>
      <c r="Q34" s="201"/>
      <c r="R34" s="191"/>
      <c r="S34" s="240"/>
      <c r="T34" s="240"/>
      <c r="U34" s="240"/>
      <c r="V34" s="241"/>
      <c r="W34" s="240"/>
      <c r="X34" s="236"/>
      <c r="Y34" s="195"/>
      <c r="Z34" s="241"/>
      <c r="AA34" s="275"/>
      <c r="AB34" s="275"/>
      <c r="AC34" s="275"/>
      <c r="AD34" s="273"/>
      <c r="AE34" s="289"/>
      <c r="AF34" s="297"/>
      <c r="AG34" s="284"/>
      <c r="AH34" s="324"/>
      <c r="AI34" s="324"/>
      <c r="AJ34" s="324"/>
      <c r="AK34" s="325"/>
      <c r="AL34" s="337"/>
      <c r="AM34" s="346"/>
      <c r="AN34" s="334"/>
      <c r="AO34" s="386"/>
      <c r="AP34" s="382"/>
      <c r="AQ34" s="387"/>
      <c r="AR34" s="384"/>
      <c r="AS34" s="390"/>
      <c r="AT34" s="390"/>
      <c r="AU34" s="363"/>
    </row>
    <row r="35" ht="26.25" customHeight="1" spans="1:47">
      <c r="A35" s="132"/>
      <c r="B35" s="133"/>
      <c r="C35" s="158"/>
      <c r="D35" s="155"/>
      <c r="E35" s="151"/>
      <c r="F35" s="151"/>
      <c r="G35" s="151"/>
      <c r="H35" s="153"/>
      <c r="I35" s="200"/>
      <c r="J35" s="158"/>
      <c r="K35" s="158"/>
      <c r="L35" s="197"/>
      <c r="M35" s="191"/>
      <c r="N35" s="194"/>
      <c r="O35" s="195"/>
      <c r="P35" s="195"/>
      <c r="Q35" s="201"/>
      <c r="R35" s="191"/>
      <c r="S35" s="240"/>
      <c r="T35" s="240"/>
      <c r="U35" s="240"/>
      <c r="V35" s="241"/>
      <c r="W35" s="240"/>
      <c r="X35" s="239"/>
      <c r="Y35" s="195"/>
      <c r="Z35" s="241"/>
      <c r="AA35" s="278"/>
      <c r="AB35" s="278"/>
      <c r="AC35" s="278"/>
      <c r="AD35" s="273"/>
      <c r="AE35" s="289"/>
      <c r="AF35" s="297"/>
      <c r="AG35" s="286"/>
      <c r="AH35" s="324"/>
      <c r="AI35" s="324"/>
      <c r="AJ35" s="324"/>
      <c r="AK35" s="325"/>
      <c r="AL35" s="337"/>
      <c r="AM35" s="348"/>
      <c r="AN35" s="335"/>
      <c r="AO35" s="388"/>
      <c r="AP35" s="382"/>
      <c r="AQ35" s="387"/>
      <c r="AR35" s="384"/>
      <c r="AS35" s="392"/>
      <c r="AT35" s="392"/>
      <c r="AU35" s="363"/>
    </row>
    <row r="36" ht="26.25" customHeight="1" spans="1:47">
      <c r="A36" s="132"/>
      <c r="B36" s="133"/>
      <c r="C36" s="156" t="s">
        <v>70</v>
      </c>
      <c r="D36" s="152" t="s">
        <v>71</v>
      </c>
      <c r="E36" s="151">
        <v>0</v>
      </c>
      <c r="F36" s="151">
        <v>2</v>
      </c>
      <c r="G36" s="151">
        <v>2</v>
      </c>
      <c r="H36" s="153">
        <f t="shared" ref="H36:H42" si="19">E36+F36+G36</f>
        <v>4</v>
      </c>
      <c r="I36" s="198">
        <v>6</v>
      </c>
      <c r="J36" s="151">
        <v>1</v>
      </c>
      <c r="K36" s="151">
        <v>2</v>
      </c>
      <c r="L36" s="193">
        <f>SUM(J36:K38)</f>
        <v>3</v>
      </c>
      <c r="M36" s="191">
        <v>4</v>
      </c>
      <c r="N36" s="194">
        <v>5</v>
      </c>
      <c r="O36" s="195">
        <v>5</v>
      </c>
      <c r="P36" s="195">
        <v>5</v>
      </c>
      <c r="Q36" s="193">
        <f>SUM(N36:P38)</f>
        <v>15</v>
      </c>
      <c r="R36" s="191">
        <v>15</v>
      </c>
      <c r="S36" s="195">
        <v>7</v>
      </c>
      <c r="T36" s="195">
        <v>7</v>
      </c>
      <c r="U36" s="242">
        <v>5</v>
      </c>
      <c r="V36" s="241"/>
      <c r="W36" s="240">
        <v>6</v>
      </c>
      <c r="X36" s="233"/>
      <c r="Y36" s="269"/>
      <c r="Z36" s="195"/>
      <c r="AA36" s="270">
        <f>S36/W36</f>
        <v>1.16666666666667</v>
      </c>
      <c r="AB36" s="270">
        <f>T36/W36</f>
        <v>1.16666666666667</v>
      </c>
      <c r="AC36" s="270">
        <f>U36/W36</f>
        <v>0.833333333333333</v>
      </c>
      <c r="AD36" s="273"/>
      <c r="AE36" s="289"/>
      <c r="AF36" s="290"/>
      <c r="AG36" s="338">
        <f>Z36/W36</f>
        <v>0</v>
      </c>
      <c r="AH36" s="324" t="str">
        <f t="shared" ref="AH36:AJ36" si="20">IF(AND(AA36&gt;=10%,AA36&lt;=19%),"1",IF(AND(AA36&gt;=20%,AA36&lt;=29%),"2",IF(AND(AA36&gt;=30%,AA36&lt;=39%),"3",IF(AND(AA36&gt;=40%,AA36&lt;=49%),"4",IF(AND(AA36&gt;=50%,AA36&lt;=59%),"5",IF(AND(AA36&gt;=60%,AA36&lt;=69%),"6",IF(AND(AA36&gt;=70%,AA36&lt;=79%),"7",IF(AND(AA36&gt;=80%,AA36&lt;=89%),"8",IF(AND(AA36&gt;=90%,AA36&lt;=99%),"9",IF(AND(AA36&gt;=100%,AA36&lt;=105%),"10",IF(AND(AA36&gt;=106%),"0","0")))))))))))</f>
        <v>0</v>
      </c>
      <c r="AI36" s="324" t="str">
        <f t="shared" si="20"/>
        <v>0</v>
      </c>
      <c r="AJ36" s="324" t="str">
        <f t="shared" si="20"/>
        <v>8</v>
      </c>
      <c r="AK36" s="325"/>
      <c r="AL36" s="337"/>
      <c r="AM36" s="333"/>
      <c r="AN36" s="339" t="str">
        <f>IF(AND(AG36&gt;=10%,AG36&lt;=19%),"1",IF(AND(AG36&gt;=20%,AG36&lt;=29%),"2",IF(AND(AG36&gt;=30%,AG36&lt;=39%),"3",IF(AND(AG36&gt;=40%,AG36&lt;=49%),"4",IF(AND(AG36&gt;=50%,AG36&lt;=59%),"5",IF(AND(AG36&gt;=60%,AG36&lt;=69%),"6",IF(AND(AG36&gt;=70%,AG36&lt;=79%),"7",IF(AND(AG36&gt;=80%,AG36&lt;=89%),"8",IF(AND(AG36&gt;=90%,AG36&lt;=99%),"9",IF(AND(AG36&gt;=100%,AG36&lt;=105%),"10",IF(AND(AG36&gt;=106%),"0","0")))))))))))</f>
        <v>0</v>
      </c>
      <c r="AO36" s="381">
        <f>AH36+AI36+AJ36+AL36+AN36</f>
        <v>8</v>
      </c>
      <c r="AP36" s="382">
        <v>40</v>
      </c>
      <c r="AQ36" s="383">
        <f>SUM(H36,L36,Q36,AO36)</f>
        <v>30</v>
      </c>
      <c r="AR36" s="384">
        <f t="shared" ref="AR36:AR39" si="21">SUM(AP36,R36,M36,I36)</f>
        <v>65</v>
      </c>
      <c r="AS36" s="389"/>
      <c r="AT36" s="389"/>
      <c r="AU36" s="363"/>
    </row>
    <row r="37" ht="26.25" customHeight="1" spans="1:47">
      <c r="A37" s="132"/>
      <c r="B37" s="133"/>
      <c r="C37" s="157"/>
      <c r="D37" s="154"/>
      <c r="E37" s="151"/>
      <c r="F37" s="151"/>
      <c r="G37" s="151"/>
      <c r="H37" s="153"/>
      <c r="I37" s="199"/>
      <c r="J37" s="151"/>
      <c r="K37" s="151"/>
      <c r="L37" s="196"/>
      <c r="M37" s="191"/>
      <c r="N37" s="194"/>
      <c r="O37" s="195"/>
      <c r="P37" s="195"/>
      <c r="Q37" s="196"/>
      <c r="R37" s="191"/>
      <c r="S37" s="195"/>
      <c r="T37" s="195"/>
      <c r="U37" s="242"/>
      <c r="V37" s="241"/>
      <c r="W37" s="240"/>
      <c r="X37" s="236"/>
      <c r="Y37" s="269"/>
      <c r="Z37" s="195"/>
      <c r="AA37" s="275"/>
      <c r="AB37" s="275"/>
      <c r="AC37" s="275"/>
      <c r="AD37" s="273"/>
      <c r="AE37" s="289"/>
      <c r="AF37" s="290"/>
      <c r="AG37" s="341"/>
      <c r="AH37" s="324"/>
      <c r="AI37" s="324"/>
      <c r="AJ37" s="324"/>
      <c r="AK37" s="325"/>
      <c r="AL37" s="337"/>
      <c r="AM37" s="334"/>
      <c r="AN37" s="339"/>
      <c r="AO37" s="386"/>
      <c r="AP37" s="382"/>
      <c r="AQ37" s="387"/>
      <c r="AR37" s="384"/>
      <c r="AS37" s="390"/>
      <c r="AT37" s="390"/>
      <c r="AU37" s="363"/>
    </row>
    <row r="38" ht="26.25" customHeight="1" spans="1:47">
      <c r="A38" s="132"/>
      <c r="B38" s="133"/>
      <c r="C38" s="158"/>
      <c r="D38" s="155"/>
      <c r="E38" s="151"/>
      <c r="F38" s="151"/>
      <c r="G38" s="151"/>
      <c r="H38" s="153"/>
      <c r="I38" s="200"/>
      <c r="J38" s="151"/>
      <c r="K38" s="151"/>
      <c r="L38" s="197"/>
      <c r="M38" s="191"/>
      <c r="N38" s="194"/>
      <c r="O38" s="195"/>
      <c r="P38" s="195"/>
      <c r="Q38" s="197"/>
      <c r="R38" s="191"/>
      <c r="S38" s="195"/>
      <c r="T38" s="195"/>
      <c r="U38" s="242"/>
      <c r="V38" s="241"/>
      <c r="W38" s="240"/>
      <c r="X38" s="239"/>
      <c r="Y38" s="269"/>
      <c r="Z38" s="195"/>
      <c r="AA38" s="278"/>
      <c r="AB38" s="278"/>
      <c r="AC38" s="278"/>
      <c r="AD38" s="273"/>
      <c r="AE38" s="289"/>
      <c r="AF38" s="290"/>
      <c r="AG38" s="342"/>
      <c r="AH38" s="324"/>
      <c r="AI38" s="324"/>
      <c r="AJ38" s="324"/>
      <c r="AK38" s="325"/>
      <c r="AL38" s="337"/>
      <c r="AM38" s="335"/>
      <c r="AN38" s="339"/>
      <c r="AO38" s="388"/>
      <c r="AP38" s="382"/>
      <c r="AQ38" s="387"/>
      <c r="AR38" s="384"/>
      <c r="AS38" s="392"/>
      <c r="AT38" s="392"/>
      <c r="AU38" s="363"/>
    </row>
    <row r="39" ht="26.25" customHeight="1" spans="1:47">
      <c r="A39" s="132"/>
      <c r="B39" s="133"/>
      <c r="C39" s="156" t="s">
        <v>72</v>
      </c>
      <c r="D39" s="152" t="s">
        <v>73</v>
      </c>
      <c r="E39" s="151">
        <v>0</v>
      </c>
      <c r="F39" s="151">
        <v>2</v>
      </c>
      <c r="G39" s="151">
        <v>2</v>
      </c>
      <c r="H39" s="153">
        <f t="shared" si="19"/>
        <v>4</v>
      </c>
      <c r="I39" s="198">
        <v>6</v>
      </c>
      <c r="J39" s="151">
        <v>2</v>
      </c>
      <c r="K39" s="151">
        <v>2</v>
      </c>
      <c r="L39" s="193">
        <f>SUM(J39:K41)</f>
        <v>4</v>
      </c>
      <c r="M39" s="191">
        <v>4</v>
      </c>
      <c r="N39" s="194">
        <v>5</v>
      </c>
      <c r="O39" s="195">
        <v>5</v>
      </c>
      <c r="P39" s="195">
        <v>5</v>
      </c>
      <c r="Q39" s="201">
        <f>SUM(N39:P41)</f>
        <v>15</v>
      </c>
      <c r="R39" s="191">
        <v>15</v>
      </c>
      <c r="S39" s="240">
        <v>8</v>
      </c>
      <c r="T39" s="240">
        <v>8</v>
      </c>
      <c r="U39" s="240">
        <v>9</v>
      </c>
      <c r="V39" s="241"/>
      <c r="W39" s="240">
        <v>8</v>
      </c>
      <c r="X39" s="233"/>
      <c r="Y39" s="269"/>
      <c r="Z39" s="194"/>
      <c r="AA39" s="270">
        <f>S39/W39</f>
        <v>1</v>
      </c>
      <c r="AB39" s="270">
        <f>T39/W39</f>
        <v>1</v>
      </c>
      <c r="AC39" s="270">
        <f>U39/W39</f>
        <v>1.125</v>
      </c>
      <c r="AD39" s="273"/>
      <c r="AE39" s="292"/>
      <c r="AF39" s="290"/>
      <c r="AG39" s="338">
        <f>Z39/W39</f>
        <v>0</v>
      </c>
      <c r="AH39" s="329" t="str">
        <f t="shared" ref="AH39:AL39" si="22">IF(AND(AA39&gt;=10%,AA39&lt;=19%),"1",IF(AND(AA39&gt;=20%,AA39&lt;=29%),"2",IF(AND(AA39&gt;=30%,AA39&lt;=39%),"3",IF(AND(AA39&gt;=40%,AA39&lt;=49%),"4",IF(AND(AA39&gt;=50%,AA39&lt;=59%),"5",IF(AND(AA39&gt;=60%,AA39&lt;=69%),"6",IF(AND(AA39&gt;=70%,AA39&lt;=79%),"7",IF(AND(AA39&gt;=80%,AA39&lt;=89%),"8",IF(AND(AA39&gt;=90%,AA39&lt;=99%),"9",IF(AND(AA39&gt;=100%,AA39&lt;=105%),"10",IF(AND(AA39&gt;=106%),"0","0")))))))))))</f>
        <v>10</v>
      </c>
      <c r="AI39" s="324" t="str">
        <f t="shared" si="22"/>
        <v>10</v>
      </c>
      <c r="AJ39" s="324" t="str">
        <f t="shared" si="22"/>
        <v>0</v>
      </c>
      <c r="AK39" s="325"/>
      <c r="AL39" s="337"/>
      <c r="AM39" s="325"/>
      <c r="AN39" s="339" t="str">
        <f>IF(AND(AG39&gt;=10%,AG39&lt;=19%),"1",IF(AND(AG39&gt;=20%,AG39&lt;=29%),"2",IF(AND(AG39&gt;=30%,AG39&lt;=39%),"3",IF(AND(AG39&gt;=40%,AG39&lt;=49%),"4",IF(AND(AG39&gt;=50%,AG39&lt;=59%),"5",IF(AND(AG39&gt;=60%,AG39&lt;=69%),"6",IF(AND(AG39&gt;=70%,AG39&lt;=79%),"7",IF(AND(AG39&gt;=80%,AG39&lt;=89%),"8",IF(AND(AG39&gt;=90%,AG39&lt;=99%),"9",IF(AND(AG39&gt;=100%,AG39&lt;=105%),"10",IF(AND(AG39&gt;=106%),"0","0")))))))))))</f>
        <v>0</v>
      </c>
      <c r="AO39" s="381">
        <f>AH39+AI39+AJ39+AL39+AN39</f>
        <v>20</v>
      </c>
      <c r="AP39" s="382">
        <v>40</v>
      </c>
      <c r="AQ39" s="383">
        <f>SUM(H39,L39,Q39,AO39)</f>
        <v>43</v>
      </c>
      <c r="AR39" s="384">
        <f t="shared" si="21"/>
        <v>65</v>
      </c>
      <c r="AS39" s="389"/>
      <c r="AT39" s="389"/>
      <c r="AU39" s="363"/>
    </row>
    <row r="40" ht="25.9" customHeight="1" spans="1:47">
      <c r="A40" s="132"/>
      <c r="B40" s="133"/>
      <c r="C40" s="157"/>
      <c r="D40" s="154"/>
      <c r="E40" s="151"/>
      <c r="F40" s="151"/>
      <c r="G40" s="151"/>
      <c r="H40" s="153"/>
      <c r="I40" s="199"/>
      <c r="J40" s="151"/>
      <c r="K40" s="151"/>
      <c r="L40" s="196"/>
      <c r="M40" s="191"/>
      <c r="N40" s="194"/>
      <c r="O40" s="195"/>
      <c r="P40" s="195"/>
      <c r="Q40" s="201"/>
      <c r="R40" s="191"/>
      <c r="S40" s="240"/>
      <c r="T40" s="240"/>
      <c r="U40" s="240"/>
      <c r="V40" s="241"/>
      <c r="W40" s="240"/>
      <c r="X40" s="236"/>
      <c r="Y40" s="269"/>
      <c r="Z40" s="194"/>
      <c r="AA40" s="275"/>
      <c r="AB40" s="275"/>
      <c r="AC40" s="275"/>
      <c r="AD40" s="273"/>
      <c r="AE40" s="294"/>
      <c r="AF40" s="290"/>
      <c r="AG40" s="341"/>
      <c r="AH40" s="331"/>
      <c r="AI40" s="324"/>
      <c r="AJ40" s="324"/>
      <c r="AK40" s="325"/>
      <c r="AL40" s="337"/>
      <c r="AM40" s="325"/>
      <c r="AN40" s="339"/>
      <c r="AO40" s="386"/>
      <c r="AP40" s="382"/>
      <c r="AQ40" s="387"/>
      <c r="AR40" s="384"/>
      <c r="AS40" s="390"/>
      <c r="AT40" s="390"/>
      <c r="AU40" s="363"/>
    </row>
    <row r="41" ht="41.25" customHeight="1" spans="1:47">
      <c r="A41" s="132"/>
      <c r="B41" s="133"/>
      <c r="C41" s="158"/>
      <c r="D41" s="155"/>
      <c r="E41" s="151"/>
      <c r="F41" s="151"/>
      <c r="G41" s="151"/>
      <c r="H41" s="153"/>
      <c r="I41" s="200"/>
      <c r="J41" s="151"/>
      <c r="K41" s="151"/>
      <c r="L41" s="197"/>
      <c r="M41" s="191"/>
      <c r="N41" s="194"/>
      <c r="O41" s="195"/>
      <c r="P41" s="195"/>
      <c r="Q41" s="201"/>
      <c r="R41" s="191"/>
      <c r="S41" s="240"/>
      <c r="T41" s="240"/>
      <c r="U41" s="240"/>
      <c r="V41" s="241"/>
      <c r="W41" s="240"/>
      <c r="X41" s="239"/>
      <c r="Y41" s="269"/>
      <c r="Z41" s="194"/>
      <c r="AA41" s="278"/>
      <c r="AB41" s="278"/>
      <c r="AC41" s="278"/>
      <c r="AD41" s="273"/>
      <c r="AE41" s="296"/>
      <c r="AF41" s="290"/>
      <c r="AG41" s="342"/>
      <c r="AH41" s="321"/>
      <c r="AI41" s="324"/>
      <c r="AJ41" s="324"/>
      <c r="AK41" s="325"/>
      <c r="AL41" s="337"/>
      <c r="AM41" s="325"/>
      <c r="AN41" s="339"/>
      <c r="AO41" s="388"/>
      <c r="AP41" s="382"/>
      <c r="AQ41" s="387"/>
      <c r="AR41" s="384"/>
      <c r="AS41" s="392"/>
      <c r="AT41" s="392"/>
      <c r="AU41" s="363"/>
    </row>
    <row r="42" ht="26.25" customHeight="1" spans="1:47">
      <c r="A42" s="132"/>
      <c r="B42" s="133"/>
      <c r="C42" s="156" t="s">
        <v>74</v>
      </c>
      <c r="D42" s="152" t="s">
        <v>75</v>
      </c>
      <c r="E42" s="151">
        <v>2</v>
      </c>
      <c r="F42" s="151">
        <v>2</v>
      </c>
      <c r="G42" s="151">
        <v>2</v>
      </c>
      <c r="H42" s="153">
        <f t="shared" si="19"/>
        <v>6</v>
      </c>
      <c r="I42" s="198">
        <v>6</v>
      </c>
      <c r="J42" s="151">
        <v>2</v>
      </c>
      <c r="K42" s="151">
        <v>2</v>
      </c>
      <c r="L42" s="193">
        <f>SUM(J42:K44)</f>
        <v>4</v>
      </c>
      <c r="M42" s="191">
        <v>4</v>
      </c>
      <c r="N42" s="194">
        <v>5</v>
      </c>
      <c r="O42" s="195">
        <v>5</v>
      </c>
      <c r="P42" s="195">
        <v>5</v>
      </c>
      <c r="Q42" s="201">
        <f>SUM(N42:P44)</f>
        <v>15</v>
      </c>
      <c r="R42" s="191">
        <v>15</v>
      </c>
      <c r="S42" s="195">
        <v>0</v>
      </c>
      <c r="T42" s="195">
        <v>0</v>
      </c>
      <c r="U42" s="195">
        <v>0</v>
      </c>
      <c r="V42" s="241"/>
      <c r="W42" s="240">
        <v>0</v>
      </c>
      <c r="X42" s="233"/>
      <c r="Y42" s="269"/>
      <c r="Z42" s="195"/>
      <c r="AA42" s="270" t="e">
        <f>S42/W42</f>
        <v>#DIV/0!</v>
      </c>
      <c r="AB42" s="270" t="e">
        <f>T42/W42</f>
        <v>#DIV/0!</v>
      </c>
      <c r="AC42" s="270" t="e">
        <f>U42/W42</f>
        <v>#DIV/0!</v>
      </c>
      <c r="AD42" s="273"/>
      <c r="AE42" s="292"/>
      <c r="AF42" s="290"/>
      <c r="AG42" s="338" t="e">
        <f>Z42/W42</f>
        <v>#DIV/0!</v>
      </c>
      <c r="AH42" s="329" t="e">
        <f t="shared" ref="AH42:AL42" si="23">IF(AND(AA42&gt;=10%,AA42&lt;=19%),"1",IF(AND(AA42&gt;=20%,AA42&lt;=29%),"2",IF(AND(AA42&gt;=30%,AA42&lt;=39%),"3",IF(AND(AA42&gt;=40%,AA42&lt;=49%),"4",IF(AND(AA42&gt;=50%,AA42&lt;=59%),"5",IF(AND(AA42&gt;=60%,AA42&lt;=69%),"6",IF(AND(AA42&gt;=70%,AA42&lt;=79%),"7",IF(AND(AA42&gt;=80%,AA42&lt;=89%),"8",IF(AND(AA42&gt;=90%,AA42&lt;=99%),"9",IF(AND(AA42&gt;=100%,AA42&lt;=105%),"10",IF(AND(AA42&gt;=106%),"0","0")))))))))))</f>
        <v>#DIV/0!</v>
      </c>
      <c r="AI42" s="324" t="e">
        <f t="shared" si="23"/>
        <v>#DIV/0!</v>
      </c>
      <c r="AJ42" s="324" t="e">
        <f t="shared" si="23"/>
        <v>#DIV/0!</v>
      </c>
      <c r="AK42" s="325"/>
      <c r="AL42" s="337"/>
      <c r="AM42" s="325"/>
      <c r="AN42" s="339" t="e">
        <f>IF(AND(AG42&gt;=10%,AG42&lt;=19%),"1",IF(AND(AG42&gt;=20%,AG42&lt;=29%),"2",IF(AND(AG42&gt;=30%,AG42&lt;=39%),"3",IF(AND(AG42&gt;=40%,AG42&lt;=49%),"4",IF(AND(AG42&gt;=50%,AG42&lt;=59%),"5",IF(AND(AG42&gt;=60%,AG42&lt;=69%),"6",IF(AND(AG42&gt;=70%,AG42&lt;=79%),"7",IF(AND(AG42&gt;=80%,AG42&lt;=89%),"8",IF(AND(AG42&gt;=90%,AG42&lt;=99%),"9",IF(AND(AG42&gt;=100%,AG42&lt;=105%),"10",IF(AND(AG42&gt;=106%),"0","0")))))))))))</f>
        <v>#DIV/0!</v>
      </c>
      <c r="AO42" s="381">
        <v>40</v>
      </c>
      <c r="AP42" s="382">
        <v>40</v>
      </c>
      <c r="AQ42" s="383">
        <f>SUM(H42,L42,Q42,AO42)</f>
        <v>65</v>
      </c>
      <c r="AR42" s="384">
        <f t="shared" ref="AR42" si="24">SUM(AP42,R42,M42,I42)</f>
        <v>65</v>
      </c>
      <c r="AS42" s="389"/>
      <c r="AT42" s="389"/>
      <c r="AU42" s="363"/>
    </row>
    <row r="43" ht="26.25" customHeight="1" spans="1:47">
      <c r="A43" s="132"/>
      <c r="B43" s="133"/>
      <c r="C43" s="157"/>
      <c r="D43" s="154"/>
      <c r="E43" s="151"/>
      <c r="F43" s="151"/>
      <c r="G43" s="151"/>
      <c r="H43" s="153"/>
      <c r="I43" s="199"/>
      <c r="J43" s="151"/>
      <c r="K43" s="151"/>
      <c r="L43" s="196"/>
      <c r="M43" s="191"/>
      <c r="N43" s="194"/>
      <c r="O43" s="195"/>
      <c r="P43" s="195"/>
      <c r="Q43" s="201"/>
      <c r="R43" s="191"/>
      <c r="S43" s="195"/>
      <c r="T43" s="195"/>
      <c r="U43" s="195"/>
      <c r="V43" s="241"/>
      <c r="W43" s="240"/>
      <c r="X43" s="236"/>
      <c r="Y43" s="269"/>
      <c r="Z43" s="195"/>
      <c r="AA43" s="275"/>
      <c r="AB43" s="275"/>
      <c r="AC43" s="275"/>
      <c r="AD43" s="273"/>
      <c r="AE43" s="294"/>
      <c r="AF43" s="290"/>
      <c r="AG43" s="341"/>
      <c r="AH43" s="331"/>
      <c r="AI43" s="324"/>
      <c r="AJ43" s="324"/>
      <c r="AK43" s="325"/>
      <c r="AL43" s="337"/>
      <c r="AM43" s="325"/>
      <c r="AN43" s="339"/>
      <c r="AO43" s="386"/>
      <c r="AP43" s="382"/>
      <c r="AQ43" s="387"/>
      <c r="AR43" s="384"/>
      <c r="AS43" s="390"/>
      <c r="AT43" s="390"/>
      <c r="AU43" s="363"/>
    </row>
    <row r="44" ht="26.25" customHeight="1" spans="1:47">
      <c r="A44" s="132"/>
      <c r="B44" s="133"/>
      <c r="C44" s="158"/>
      <c r="D44" s="155"/>
      <c r="E44" s="151"/>
      <c r="F44" s="151"/>
      <c r="G44" s="151"/>
      <c r="H44" s="153"/>
      <c r="I44" s="200"/>
      <c r="J44" s="151"/>
      <c r="K44" s="151"/>
      <c r="L44" s="197"/>
      <c r="M44" s="191"/>
      <c r="N44" s="194"/>
      <c r="O44" s="195"/>
      <c r="P44" s="195"/>
      <c r="Q44" s="201"/>
      <c r="R44" s="191"/>
      <c r="S44" s="195"/>
      <c r="T44" s="195"/>
      <c r="U44" s="195"/>
      <c r="V44" s="241"/>
      <c r="W44" s="240"/>
      <c r="X44" s="239"/>
      <c r="Y44" s="269"/>
      <c r="Z44" s="195"/>
      <c r="AA44" s="278"/>
      <c r="AB44" s="278"/>
      <c r="AC44" s="278"/>
      <c r="AD44" s="273"/>
      <c r="AE44" s="296"/>
      <c r="AF44" s="290"/>
      <c r="AG44" s="342"/>
      <c r="AH44" s="321"/>
      <c r="AI44" s="324"/>
      <c r="AJ44" s="324"/>
      <c r="AK44" s="325"/>
      <c r="AL44" s="337"/>
      <c r="AM44" s="325"/>
      <c r="AN44" s="339"/>
      <c r="AO44" s="388"/>
      <c r="AP44" s="382"/>
      <c r="AQ44" s="387"/>
      <c r="AR44" s="384"/>
      <c r="AS44" s="392"/>
      <c r="AT44" s="392"/>
      <c r="AU44" s="363"/>
    </row>
    <row r="45" ht="60.75" customHeight="1" spans="1:47">
      <c r="A45" s="132"/>
      <c r="B45" s="133"/>
      <c r="C45" s="157" t="s">
        <v>76</v>
      </c>
      <c r="D45" s="154" t="s">
        <v>77</v>
      </c>
      <c r="E45" s="157">
        <v>2</v>
      </c>
      <c r="F45" s="157">
        <v>2</v>
      </c>
      <c r="G45" s="157">
        <v>2</v>
      </c>
      <c r="H45" s="153">
        <f>SUM(E45:G45)</f>
        <v>6</v>
      </c>
      <c r="I45" s="199">
        <v>6</v>
      </c>
      <c r="J45" s="157">
        <v>2</v>
      </c>
      <c r="K45" s="157">
        <v>2</v>
      </c>
      <c r="L45" s="201">
        <f>SUM(J45:K45)</f>
        <v>4</v>
      </c>
      <c r="M45" s="191">
        <v>4</v>
      </c>
      <c r="N45" s="202">
        <v>5</v>
      </c>
      <c r="O45" s="202">
        <v>5</v>
      </c>
      <c r="P45" s="202">
        <v>5</v>
      </c>
      <c r="Q45" s="201">
        <f>SUM(N45:P45)</f>
        <v>15</v>
      </c>
      <c r="R45" s="191">
        <v>15</v>
      </c>
      <c r="S45" s="202">
        <v>0</v>
      </c>
      <c r="T45" s="202">
        <v>0</v>
      </c>
      <c r="U45" s="202">
        <v>0</v>
      </c>
      <c r="V45" s="243">
        <v>0</v>
      </c>
      <c r="W45" s="235">
        <v>0</v>
      </c>
      <c r="X45" s="239"/>
      <c r="Y45" s="298">
        <v>0</v>
      </c>
      <c r="Z45" s="299"/>
      <c r="AA45" s="300" t="e">
        <f>S45/W45</f>
        <v>#DIV/0!</v>
      </c>
      <c r="AB45" s="300" t="e">
        <f>T45/W45</f>
        <v>#DIV/0!</v>
      </c>
      <c r="AC45" s="300" t="e">
        <f>U45/W45</f>
        <v>#DIV/0!</v>
      </c>
      <c r="AD45" s="272" t="e">
        <f>V45/W45</f>
        <v>#DIV/0!</v>
      </c>
      <c r="AE45" s="289"/>
      <c r="AF45" s="297" t="e">
        <f>Y45/W45</f>
        <v>#DIV/0!</v>
      </c>
      <c r="AG45" s="290"/>
      <c r="AH45" s="339"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339" t="e">
        <f t="shared" si="25"/>
        <v>#DIV/0!</v>
      </c>
      <c r="AJ45" s="339" t="e">
        <f t="shared" si="25"/>
        <v>#DIV/0!</v>
      </c>
      <c r="AK45" s="339" t="e">
        <f t="shared" si="25"/>
        <v>#DIV/0!</v>
      </c>
      <c r="AL45" s="350"/>
      <c r="AM45" s="339" t="e">
        <f t="shared" si="25"/>
        <v>#DIV/0!</v>
      </c>
      <c r="AN45" s="351"/>
      <c r="AO45" s="381">
        <v>50</v>
      </c>
      <c r="AP45" s="391">
        <v>50</v>
      </c>
      <c r="AQ45" s="395">
        <f>SUM(H45,L45,Q45,AO45)</f>
        <v>75</v>
      </c>
      <c r="AR45" s="396">
        <f>SUM(AP45,R45,I45,M45)</f>
        <v>75</v>
      </c>
      <c r="AS45" s="390"/>
      <c r="AT45" s="390"/>
      <c r="AU45" s="363"/>
    </row>
    <row r="46" ht="26.25" customHeight="1" spans="1:47">
      <c r="A46" s="132"/>
      <c r="B46" s="133"/>
      <c r="C46" s="151" t="s">
        <v>78</v>
      </c>
      <c r="D46" s="161" t="s">
        <v>79</v>
      </c>
      <c r="E46" s="151">
        <v>2</v>
      </c>
      <c r="F46" s="151">
        <v>2</v>
      </c>
      <c r="G46" s="151">
        <v>2</v>
      </c>
      <c r="H46" s="160">
        <f>SUM(E46:G48)</f>
        <v>6</v>
      </c>
      <c r="I46" s="198">
        <v>6</v>
      </c>
      <c r="J46" s="151">
        <v>2</v>
      </c>
      <c r="K46" s="151">
        <v>2</v>
      </c>
      <c r="L46" s="193">
        <f>SUM(J46:K48)</f>
        <v>4</v>
      </c>
      <c r="M46" s="191">
        <v>4</v>
      </c>
      <c r="N46" s="194">
        <v>5</v>
      </c>
      <c r="O46" s="195">
        <v>5</v>
      </c>
      <c r="P46" s="195">
        <v>5</v>
      </c>
      <c r="Q46" s="201">
        <f>SUM(N46:P48)</f>
        <v>15</v>
      </c>
      <c r="R46" s="198">
        <v>15</v>
      </c>
      <c r="S46" s="194">
        <v>7</v>
      </c>
      <c r="T46" s="194">
        <v>7</v>
      </c>
      <c r="U46" s="240">
        <v>7</v>
      </c>
      <c r="V46" s="241"/>
      <c r="W46" s="232">
        <v>7</v>
      </c>
      <c r="X46" s="233"/>
      <c r="Y46" s="241"/>
      <c r="Z46" s="241"/>
      <c r="AA46" s="270">
        <f>S46/W46</f>
        <v>1</v>
      </c>
      <c r="AB46" s="270">
        <f>T46/W46</f>
        <v>1</v>
      </c>
      <c r="AC46" s="270">
        <f>U46/W46</f>
        <v>1</v>
      </c>
      <c r="AD46" s="281"/>
      <c r="AE46" s="290"/>
      <c r="AF46" s="290"/>
      <c r="AG46" s="282"/>
      <c r="AH46" s="329" t="str">
        <f t="shared" si="25"/>
        <v>10</v>
      </c>
      <c r="AI46" s="329" t="str">
        <f t="shared" si="25"/>
        <v>10</v>
      </c>
      <c r="AJ46" s="329" t="str">
        <f t="shared" si="25"/>
        <v>10</v>
      </c>
      <c r="AK46" s="333"/>
      <c r="AL46" s="333"/>
      <c r="AM46" s="333"/>
      <c r="AN46" s="333"/>
      <c r="AO46" s="381">
        <f>AH46+AI46+AJ46</f>
        <v>30</v>
      </c>
      <c r="AP46" s="382">
        <v>30</v>
      </c>
      <c r="AQ46" s="395">
        <f>SUM(H46,L46,Q46,AO46)</f>
        <v>55</v>
      </c>
      <c r="AR46" s="396">
        <f t="shared" ref="AR46:AR58" si="26">SUM(AP46,R46,I46,M46)</f>
        <v>55</v>
      </c>
      <c r="AS46" s="389"/>
      <c r="AT46" s="389"/>
      <c r="AU46" s="363"/>
    </row>
    <row r="47" ht="26.25" customHeight="1" spans="1:47">
      <c r="A47" s="132"/>
      <c r="B47" s="133"/>
      <c r="C47" s="151"/>
      <c r="D47" s="161"/>
      <c r="E47" s="151"/>
      <c r="F47" s="151"/>
      <c r="G47" s="151"/>
      <c r="H47" s="162"/>
      <c r="I47" s="199"/>
      <c r="J47" s="151"/>
      <c r="K47" s="151"/>
      <c r="L47" s="196"/>
      <c r="M47" s="191"/>
      <c r="N47" s="194"/>
      <c r="O47" s="195"/>
      <c r="P47" s="195"/>
      <c r="Q47" s="201"/>
      <c r="R47" s="199"/>
      <c r="S47" s="194"/>
      <c r="T47" s="194"/>
      <c r="U47" s="240"/>
      <c r="V47" s="241"/>
      <c r="W47" s="235"/>
      <c r="X47" s="236"/>
      <c r="Y47" s="241"/>
      <c r="Z47" s="241"/>
      <c r="AA47" s="275"/>
      <c r="AB47" s="275"/>
      <c r="AC47" s="275"/>
      <c r="AD47" s="283"/>
      <c r="AE47" s="290"/>
      <c r="AF47" s="290"/>
      <c r="AG47" s="284"/>
      <c r="AH47" s="331"/>
      <c r="AI47" s="331"/>
      <c r="AJ47" s="331"/>
      <c r="AK47" s="334"/>
      <c r="AL47" s="334"/>
      <c r="AM47" s="334"/>
      <c r="AN47" s="334"/>
      <c r="AO47" s="386"/>
      <c r="AP47" s="382"/>
      <c r="AQ47" s="398"/>
      <c r="AR47" s="399"/>
      <c r="AS47" s="390"/>
      <c r="AT47" s="390"/>
      <c r="AU47" s="363"/>
    </row>
    <row r="48" ht="26.25" customHeight="1" spans="1:47">
      <c r="A48" s="132"/>
      <c r="B48" s="133"/>
      <c r="C48" s="151"/>
      <c r="D48" s="161"/>
      <c r="E48" s="151"/>
      <c r="F48" s="151"/>
      <c r="G48" s="151"/>
      <c r="H48" s="163"/>
      <c r="I48" s="199"/>
      <c r="J48" s="151"/>
      <c r="K48" s="151"/>
      <c r="L48" s="197"/>
      <c r="M48" s="191"/>
      <c r="N48" s="194"/>
      <c r="O48" s="195"/>
      <c r="P48" s="195"/>
      <c r="Q48" s="201"/>
      <c r="R48" s="200"/>
      <c r="S48" s="194"/>
      <c r="T48" s="194"/>
      <c r="U48" s="240"/>
      <c r="V48" s="241"/>
      <c r="W48" s="238"/>
      <c r="X48" s="239"/>
      <c r="Y48" s="241"/>
      <c r="Z48" s="241"/>
      <c r="AA48" s="278"/>
      <c r="AB48" s="278"/>
      <c r="AC48" s="278"/>
      <c r="AD48" s="285"/>
      <c r="AE48" s="290"/>
      <c r="AF48" s="290"/>
      <c r="AG48" s="286"/>
      <c r="AH48" s="321"/>
      <c r="AI48" s="321"/>
      <c r="AJ48" s="321"/>
      <c r="AK48" s="335"/>
      <c r="AL48" s="335"/>
      <c r="AM48" s="335"/>
      <c r="AN48" s="335"/>
      <c r="AO48" s="388"/>
      <c r="AP48" s="382"/>
      <c r="AQ48" s="400"/>
      <c r="AR48" s="401"/>
      <c r="AS48" s="392"/>
      <c r="AT48" s="392"/>
      <c r="AU48" s="363"/>
    </row>
    <row r="49" ht="26.25" customHeight="1" spans="1:47">
      <c r="A49" s="132"/>
      <c r="B49" s="133"/>
      <c r="C49" s="151" t="s">
        <v>80</v>
      </c>
      <c r="D49" s="161" t="s">
        <v>81</v>
      </c>
      <c r="E49" s="151">
        <v>2</v>
      </c>
      <c r="F49" s="151">
        <v>2</v>
      </c>
      <c r="G49" s="151">
        <v>2</v>
      </c>
      <c r="H49" s="160">
        <f t="shared" ref="H49" si="27">SUM(E49:G51)</f>
        <v>6</v>
      </c>
      <c r="I49" s="198">
        <v>6</v>
      </c>
      <c r="J49" s="151">
        <v>2</v>
      </c>
      <c r="K49" s="151">
        <v>2</v>
      </c>
      <c r="L49" s="193">
        <f>SUM(J49:K51)</f>
        <v>4</v>
      </c>
      <c r="M49" s="191">
        <v>4</v>
      </c>
      <c r="N49" s="194">
        <v>5</v>
      </c>
      <c r="O49" s="195">
        <v>5</v>
      </c>
      <c r="P49" s="195">
        <v>5</v>
      </c>
      <c r="Q49" s="201">
        <f>SUM(N49:P51)</f>
        <v>15</v>
      </c>
      <c r="R49" s="198">
        <v>15</v>
      </c>
      <c r="S49" s="194">
        <v>7</v>
      </c>
      <c r="T49" s="194">
        <v>7</v>
      </c>
      <c r="U49" s="195">
        <v>7</v>
      </c>
      <c r="V49" s="241"/>
      <c r="W49" s="232">
        <v>7</v>
      </c>
      <c r="X49" s="233"/>
      <c r="Y49" s="241"/>
      <c r="Z49" s="241"/>
      <c r="AA49" s="270">
        <f>S49/W49</f>
        <v>1</v>
      </c>
      <c r="AB49" s="270">
        <f>T49/W49</f>
        <v>1</v>
      </c>
      <c r="AC49" s="270">
        <f>U49/W49</f>
        <v>1</v>
      </c>
      <c r="AD49" s="281"/>
      <c r="AE49" s="301"/>
      <c r="AF49" s="290"/>
      <c r="AG49" s="282"/>
      <c r="AH49" s="329" t="str">
        <f t="shared" ref="AH49:AJ49" si="28">IF(AND(AA49&gt;=10%,AA49&lt;=19%),"1",IF(AND(AA49&gt;=20%,AA49&lt;=29%),"2",IF(AND(AA49&gt;=30%,AA49&lt;=39%),"3",IF(AND(AA49&gt;=40%,AA49&lt;=49%),"4",IF(AND(AA49&gt;=50%,AA49&lt;=59%),"5",IF(AND(AA49&gt;=60%,AA49&lt;=69%),"6",IF(AND(AA49&gt;=70%,AA49&lt;=79%),"7",IF(AND(AA49&gt;=80%,AA49&lt;=89%),"8",IF(AND(AA49&gt;=90%,AA49&lt;=99%),"9",IF(AND(AA49&gt;=100%,AA49&lt;=105%),"10",IF(AND(AA49&gt;=106%),"0","0")))))))))))</f>
        <v>10</v>
      </c>
      <c r="AI49" s="329" t="str">
        <f t="shared" si="28"/>
        <v>10</v>
      </c>
      <c r="AJ49" s="329" t="str">
        <f t="shared" si="28"/>
        <v>10</v>
      </c>
      <c r="AK49" s="333"/>
      <c r="AL49" s="333"/>
      <c r="AM49" s="333"/>
      <c r="AN49" s="333"/>
      <c r="AO49" s="381">
        <f>AH49+AI49+AJ49+AL49</f>
        <v>30</v>
      </c>
      <c r="AP49" s="382">
        <v>30</v>
      </c>
      <c r="AQ49" s="395">
        <f>SUM(H49,L49,Q49,AO49)</f>
        <v>55</v>
      </c>
      <c r="AR49" s="396">
        <f t="shared" si="26"/>
        <v>55</v>
      </c>
      <c r="AS49" s="389"/>
      <c r="AT49" s="389"/>
      <c r="AU49" s="363"/>
    </row>
    <row r="50" ht="26.25" customHeight="1" spans="1:47">
      <c r="A50" s="132"/>
      <c r="B50" s="133"/>
      <c r="C50" s="151"/>
      <c r="D50" s="161"/>
      <c r="E50" s="151"/>
      <c r="F50" s="151"/>
      <c r="G50" s="151"/>
      <c r="H50" s="162"/>
      <c r="I50" s="199"/>
      <c r="J50" s="151"/>
      <c r="K50" s="151"/>
      <c r="L50" s="196"/>
      <c r="M50" s="191"/>
      <c r="N50" s="194"/>
      <c r="O50" s="195"/>
      <c r="P50" s="195"/>
      <c r="Q50" s="201"/>
      <c r="R50" s="199"/>
      <c r="S50" s="194"/>
      <c r="T50" s="194"/>
      <c r="U50" s="195"/>
      <c r="V50" s="241"/>
      <c r="W50" s="235"/>
      <c r="X50" s="236"/>
      <c r="Y50" s="241"/>
      <c r="Z50" s="241"/>
      <c r="AA50" s="275"/>
      <c r="AB50" s="275"/>
      <c r="AC50" s="275"/>
      <c r="AD50" s="283"/>
      <c r="AE50" s="301"/>
      <c r="AF50" s="290"/>
      <c r="AG50" s="284"/>
      <c r="AH50" s="331"/>
      <c r="AI50" s="331"/>
      <c r="AJ50" s="331"/>
      <c r="AK50" s="334"/>
      <c r="AL50" s="334"/>
      <c r="AM50" s="334"/>
      <c r="AN50" s="334"/>
      <c r="AO50" s="386"/>
      <c r="AP50" s="382"/>
      <c r="AQ50" s="398"/>
      <c r="AR50" s="399"/>
      <c r="AS50" s="390"/>
      <c r="AT50" s="390"/>
      <c r="AU50" s="363"/>
    </row>
    <row r="51" ht="26.25" customHeight="1" spans="1:47">
      <c r="A51" s="132"/>
      <c r="B51" s="133"/>
      <c r="C51" s="151"/>
      <c r="D51" s="161"/>
      <c r="E51" s="151"/>
      <c r="F51" s="151"/>
      <c r="G51" s="151"/>
      <c r="H51" s="163"/>
      <c r="I51" s="199"/>
      <c r="J51" s="151"/>
      <c r="K51" s="151"/>
      <c r="L51" s="197"/>
      <c r="M51" s="191"/>
      <c r="N51" s="194"/>
      <c r="O51" s="195"/>
      <c r="P51" s="195"/>
      <c r="Q51" s="201"/>
      <c r="R51" s="200"/>
      <c r="S51" s="194"/>
      <c r="T51" s="194"/>
      <c r="U51" s="195"/>
      <c r="V51" s="241"/>
      <c r="W51" s="238"/>
      <c r="X51" s="239"/>
      <c r="Y51" s="241"/>
      <c r="Z51" s="241"/>
      <c r="AA51" s="278"/>
      <c r="AB51" s="278"/>
      <c r="AC51" s="278"/>
      <c r="AD51" s="285"/>
      <c r="AE51" s="301"/>
      <c r="AF51" s="290"/>
      <c r="AG51" s="286"/>
      <c r="AH51" s="321"/>
      <c r="AI51" s="321"/>
      <c r="AJ51" s="321"/>
      <c r="AK51" s="335"/>
      <c r="AL51" s="335"/>
      <c r="AM51" s="335"/>
      <c r="AN51" s="335"/>
      <c r="AO51" s="388"/>
      <c r="AP51" s="382"/>
      <c r="AQ51" s="400"/>
      <c r="AR51" s="401"/>
      <c r="AS51" s="392"/>
      <c r="AT51" s="392"/>
      <c r="AU51" s="363"/>
    </row>
    <row r="52" ht="26.25" customHeight="1" spans="1:47">
      <c r="A52" s="132"/>
      <c r="B52" s="133"/>
      <c r="C52" s="156" t="s">
        <v>82</v>
      </c>
      <c r="D52" s="152" t="s">
        <v>83</v>
      </c>
      <c r="E52" s="151">
        <v>2</v>
      </c>
      <c r="F52" s="151">
        <v>2</v>
      </c>
      <c r="G52" s="151">
        <v>2</v>
      </c>
      <c r="H52" s="160">
        <f t="shared" ref="H52" si="29">SUM(E52:G54)</f>
        <v>6</v>
      </c>
      <c r="I52" s="198">
        <v>6</v>
      </c>
      <c r="J52" s="156">
        <v>2</v>
      </c>
      <c r="K52" s="156">
        <v>2</v>
      </c>
      <c r="L52" s="193">
        <f>SUM(J52:K54)</f>
        <v>4</v>
      </c>
      <c r="M52" s="191">
        <v>4</v>
      </c>
      <c r="N52" s="194">
        <v>5</v>
      </c>
      <c r="O52" s="195">
        <v>5</v>
      </c>
      <c r="P52" s="195">
        <v>5</v>
      </c>
      <c r="Q52" s="201">
        <f>SUM(N52:P54)</f>
        <v>15</v>
      </c>
      <c r="R52" s="191">
        <v>15</v>
      </c>
      <c r="S52" s="194">
        <v>5</v>
      </c>
      <c r="T52" s="194">
        <v>5</v>
      </c>
      <c r="U52" s="194">
        <v>5</v>
      </c>
      <c r="V52" s="194">
        <v>5</v>
      </c>
      <c r="W52" s="194">
        <v>5</v>
      </c>
      <c r="X52" s="233"/>
      <c r="Y52" s="194">
        <v>5</v>
      </c>
      <c r="Z52" s="241"/>
      <c r="AA52" s="270">
        <f>S52/W52</f>
        <v>1</v>
      </c>
      <c r="AB52" s="270">
        <f>T52/W52</f>
        <v>1</v>
      </c>
      <c r="AC52" s="270">
        <f>U52/W52</f>
        <v>1</v>
      </c>
      <c r="AD52" s="270">
        <f>V52/W52</f>
        <v>1</v>
      </c>
      <c r="AE52" s="274"/>
      <c r="AF52" s="297">
        <f>Y52/W52</f>
        <v>1</v>
      </c>
      <c r="AG52" s="282"/>
      <c r="AH52" s="329" t="str">
        <f t="shared" ref="AH52:AM52" si="30">IF(AND(AA52&gt;=10%,AA52&lt;=19%),"1",IF(AND(AA52&gt;=20%,AA52&lt;=29%),"2",IF(AND(AA52&gt;=30%,AA52&lt;=39%),"3",IF(AND(AA52&gt;=40%,AA52&lt;=49%),"4",IF(AND(AA52&gt;=50%,AA52&lt;=59%),"5",IF(AND(AA52&gt;=60%,AA52&lt;=69%),"6",IF(AND(AA52&gt;=70%,AA52&lt;=79%),"7",IF(AND(AA52&gt;=80%,AA52&lt;=89%),"8",IF(AND(AA52&gt;=90%,AA52&lt;=99%),"9",IF(AND(AA52&gt;=100%,AA52&lt;=105%),"10",IF(AND(AA52&gt;=106%),"0","0")))))))))))</f>
        <v>10</v>
      </c>
      <c r="AI52" s="329" t="str">
        <f t="shared" si="30"/>
        <v>10</v>
      </c>
      <c r="AJ52" s="329" t="str">
        <f t="shared" si="30"/>
        <v>10</v>
      </c>
      <c r="AK52" s="329" t="str">
        <f t="shared" si="30"/>
        <v>10</v>
      </c>
      <c r="AL52" s="336"/>
      <c r="AM52" s="329" t="str">
        <f t="shared" si="30"/>
        <v>10</v>
      </c>
      <c r="AN52" s="333"/>
      <c r="AO52" s="381">
        <f>AH52+AI52+AJ52+AK52+AL52+AM52</f>
        <v>50</v>
      </c>
      <c r="AP52" s="382">
        <v>50</v>
      </c>
      <c r="AQ52" s="395">
        <f>SUM(H52,L52,Q52,AO52)</f>
        <v>75</v>
      </c>
      <c r="AR52" s="396">
        <f t="shared" si="26"/>
        <v>75</v>
      </c>
      <c r="AS52" s="389"/>
      <c r="AT52" s="389"/>
      <c r="AU52" s="363"/>
    </row>
    <row r="53" ht="26.25" customHeight="1" spans="1:47">
      <c r="A53" s="132"/>
      <c r="B53" s="133"/>
      <c r="C53" s="157"/>
      <c r="D53" s="154"/>
      <c r="E53" s="151"/>
      <c r="F53" s="151"/>
      <c r="G53" s="151"/>
      <c r="H53" s="162"/>
      <c r="I53" s="199"/>
      <c r="J53" s="157"/>
      <c r="K53" s="157"/>
      <c r="L53" s="196"/>
      <c r="M53" s="191"/>
      <c r="N53" s="194"/>
      <c r="O53" s="195"/>
      <c r="P53" s="195"/>
      <c r="Q53" s="201"/>
      <c r="R53" s="191"/>
      <c r="S53" s="194"/>
      <c r="T53" s="194"/>
      <c r="U53" s="194"/>
      <c r="V53" s="194"/>
      <c r="W53" s="194"/>
      <c r="X53" s="236"/>
      <c r="Y53" s="194"/>
      <c r="Z53" s="241"/>
      <c r="AA53" s="275"/>
      <c r="AB53" s="275"/>
      <c r="AC53" s="275"/>
      <c r="AD53" s="275"/>
      <c r="AE53" s="277"/>
      <c r="AF53" s="297"/>
      <c r="AG53" s="284"/>
      <c r="AH53" s="331"/>
      <c r="AI53" s="331"/>
      <c r="AJ53" s="331"/>
      <c r="AK53" s="331"/>
      <c r="AL53" s="346"/>
      <c r="AM53" s="331"/>
      <c r="AN53" s="334"/>
      <c r="AO53" s="386"/>
      <c r="AP53" s="382"/>
      <c r="AQ53" s="398"/>
      <c r="AR53" s="399"/>
      <c r="AS53" s="390"/>
      <c r="AT53" s="390"/>
      <c r="AU53" s="363"/>
    </row>
    <row r="54" ht="26.25" customHeight="1" spans="1:47">
      <c r="A54" s="132"/>
      <c r="B54" s="133"/>
      <c r="C54" s="158"/>
      <c r="D54" s="155"/>
      <c r="E54" s="151"/>
      <c r="F54" s="151"/>
      <c r="G54" s="151"/>
      <c r="H54" s="162"/>
      <c r="I54" s="200"/>
      <c r="J54" s="158"/>
      <c r="K54" s="158"/>
      <c r="L54" s="197"/>
      <c r="M54" s="191"/>
      <c r="N54" s="194"/>
      <c r="O54" s="195"/>
      <c r="P54" s="195"/>
      <c r="Q54" s="201"/>
      <c r="R54" s="191"/>
      <c r="S54" s="244"/>
      <c r="T54" s="244"/>
      <c r="U54" s="244"/>
      <c r="V54" s="244"/>
      <c r="W54" s="244"/>
      <c r="X54" s="236"/>
      <c r="Y54" s="244"/>
      <c r="Z54" s="241"/>
      <c r="AA54" s="278"/>
      <c r="AB54" s="278"/>
      <c r="AC54" s="278"/>
      <c r="AD54" s="278"/>
      <c r="AE54" s="280"/>
      <c r="AF54" s="297"/>
      <c r="AG54" s="286"/>
      <c r="AH54" s="321"/>
      <c r="AI54" s="321"/>
      <c r="AJ54" s="321"/>
      <c r="AK54" s="321"/>
      <c r="AL54" s="348"/>
      <c r="AM54" s="321"/>
      <c r="AN54" s="335"/>
      <c r="AO54" s="388"/>
      <c r="AP54" s="382"/>
      <c r="AQ54" s="400"/>
      <c r="AR54" s="401"/>
      <c r="AS54" s="392"/>
      <c r="AT54" s="392"/>
      <c r="AU54" s="363"/>
    </row>
    <row r="55" ht="26.25" customHeight="1" spans="1:47">
      <c r="A55" s="132"/>
      <c r="B55" s="133"/>
      <c r="C55" s="156" t="s">
        <v>84</v>
      </c>
      <c r="D55" s="164" t="s">
        <v>85</v>
      </c>
      <c r="E55" s="151">
        <v>2</v>
      </c>
      <c r="F55" s="151">
        <v>2</v>
      </c>
      <c r="G55" s="151">
        <v>2</v>
      </c>
      <c r="H55" s="165">
        <f>SUM(E55:G57)</f>
        <v>6</v>
      </c>
      <c r="I55" s="203">
        <v>6</v>
      </c>
      <c r="J55" s="156">
        <v>2</v>
      </c>
      <c r="K55" s="156">
        <v>2</v>
      </c>
      <c r="L55" s="193">
        <f>SUM(J55:K57)</f>
        <v>4</v>
      </c>
      <c r="M55" s="198">
        <v>4</v>
      </c>
      <c r="N55" s="194">
        <v>5</v>
      </c>
      <c r="O55" s="195">
        <v>5</v>
      </c>
      <c r="P55" s="195">
        <v>5</v>
      </c>
      <c r="Q55" s="193">
        <f>SUM(N55:P57)</f>
        <v>15</v>
      </c>
      <c r="R55" s="245">
        <v>15</v>
      </c>
      <c r="S55" s="195">
        <v>0</v>
      </c>
      <c r="T55" s="194">
        <v>0</v>
      </c>
      <c r="U55" s="194">
        <v>0</v>
      </c>
      <c r="V55" s="194">
        <v>0</v>
      </c>
      <c r="W55" s="194">
        <v>0</v>
      </c>
      <c r="X55" s="233"/>
      <c r="Y55" s="194">
        <v>0</v>
      </c>
      <c r="Z55" s="231"/>
      <c r="AA55" s="270" t="e">
        <f>S55/W55</f>
        <v>#DIV/0!</v>
      </c>
      <c r="AB55" s="270" t="e">
        <f>T55/W55</f>
        <v>#DIV/0!</v>
      </c>
      <c r="AC55" s="270" t="e">
        <f>U55/W55</f>
        <v>#DIV/0!</v>
      </c>
      <c r="AD55" s="270" t="e">
        <f>V55/W55</f>
        <v>#DIV/0!</v>
      </c>
      <c r="AE55" s="274"/>
      <c r="AF55" s="297" t="e">
        <f>Y55/W55</f>
        <v>#DIV/0!</v>
      </c>
      <c r="AG55" s="282"/>
      <c r="AH55" s="329"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329" t="e">
        <f t="shared" si="31"/>
        <v>#DIV/0!</v>
      </c>
      <c r="AJ55" s="329" t="e">
        <f t="shared" si="31"/>
        <v>#DIV/0!</v>
      </c>
      <c r="AK55" s="329" t="e">
        <f t="shared" si="31"/>
        <v>#DIV/0!</v>
      </c>
      <c r="AL55" s="336"/>
      <c r="AM55" s="329" t="e">
        <f t="shared" si="31"/>
        <v>#DIV/0!</v>
      </c>
      <c r="AN55" s="333"/>
      <c r="AO55" s="381">
        <v>50</v>
      </c>
      <c r="AP55" s="391">
        <v>50</v>
      </c>
      <c r="AQ55" s="395">
        <f>SUM(H55,L55,Q55,AO55)</f>
        <v>75</v>
      </c>
      <c r="AR55" s="396">
        <f t="shared" si="26"/>
        <v>75</v>
      </c>
      <c r="AS55" s="389"/>
      <c r="AT55" s="389"/>
      <c r="AU55" s="363"/>
    </row>
    <row r="56" ht="26.25" customHeight="1" spans="1:47">
      <c r="A56" s="132"/>
      <c r="B56" s="133"/>
      <c r="C56" s="157"/>
      <c r="D56" s="166"/>
      <c r="E56" s="151"/>
      <c r="F56" s="151"/>
      <c r="G56" s="151"/>
      <c r="H56" s="165"/>
      <c r="I56" s="204"/>
      <c r="J56" s="157"/>
      <c r="K56" s="157"/>
      <c r="L56" s="196"/>
      <c r="M56" s="199"/>
      <c r="N56" s="194"/>
      <c r="O56" s="195"/>
      <c r="P56" s="195"/>
      <c r="Q56" s="196"/>
      <c r="R56" s="246"/>
      <c r="S56" s="195"/>
      <c r="T56" s="194"/>
      <c r="U56" s="194"/>
      <c r="V56" s="194"/>
      <c r="W56" s="194"/>
      <c r="X56" s="236"/>
      <c r="Y56" s="194"/>
      <c r="Z56" s="234"/>
      <c r="AA56" s="275"/>
      <c r="AB56" s="275"/>
      <c r="AC56" s="275"/>
      <c r="AD56" s="275"/>
      <c r="AE56" s="277"/>
      <c r="AF56" s="297"/>
      <c r="AG56" s="284"/>
      <c r="AH56" s="331"/>
      <c r="AI56" s="331"/>
      <c r="AJ56" s="331"/>
      <c r="AK56" s="331"/>
      <c r="AL56" s="346"/>
      <c r="AM56" s="331"/>
      <c r="AN56" s="334"/>
      <c r="AO56" s="386"/>
      <c r="AP56" s="393"/>
      <c r="AQ56" s="398"/>
      <c r="AR56" s="399"/>
      <c r="AS56" s="390"/>
      <c r="AT56" s="390"/>
      <c r="AU56" s="363"/>
    </row>
    <row r="57" ht="26.25" customHeight="1" spans="1:47">
      <c r="A57" s="132"/>
      <c r="B57" s="133"/>
      <c r="C57" s="158"/>
      <c r="D57" s="167"/>
      <c r="E57" s="151"/>
      <c r="F57" s="151"/>
      <c r="G57" s="151"/>
      <c r="H57" s="165"/>
      <c r="I57" s="204"/>
      <c r="J57" s="157"/>
      <c r="K57" s="157"/>
      <c r="L57" s="196"/>
      <c r="M57" s="199"/>
      <c r="N57" s="194"/>
      <c r="O57" s="195"/>
      <c r="P57" s="195"/>
      <c r="Q57" s="196"/>
      <c r="R57" s="246"/>
      <c r="S57" s="195"/>
      <c r="T57" s="194"/>
      <c r="U57" s="194"/>
      <c r="V57" s="194"/>
      <c r="W57" s="194"/>
      <c r="X57" s="239"/>
      <c r="Y57" s="194"/>
      <c r="Z57" s="237"/>
      <c r="AA57" s="278"/>
      <c r="AB57" s="278"/>
      <c r="AC57" s="278"/>
      <c r="AD57" s="278"/>
      <c r="AE57" s="280"/>
      <c r="AF57" s="297"/>
      <c r="AG57" s="286"/>
      <c r="AH57" s="331"/>
      <c r="AI57" s="331"/>
      <c r="AJ57" s="331"/>
      <c r="AK57" s="331"/>
      <c r="AL57" s="348"/>
      <c r="AM57" s="331"/>
      <c r="AN57" s="335"/>
      <c r="AO57" s="386"/>
      <c r="AP57" s="393"/>
      <c r="AQ57" s="398"/>
      <c r="AR57" s="401"/>
      <c r="AS57" s="392"/>
      <c r="AT57" s="392"/>
      <c r="AU57" s="363"/>
    </row>
    <row r="58" ht="26.25" customHeight="1" spans="1:47">
      <c r="A58" s="132"/>
      <c r="B58" s="133"/>
      <c r="C58" s="151" t="s">
        <v>86</v>
      </c>
      <c r="D58" s="164" t="s">
        <v>87</v>
      </c>
      <c r="E58" s="151">
        <v>2</v>
      </c>
      <c r="F58" s="151">
        <v>2</v>
      </c>
      <c r="G58" s="151">
        <v>2</v>
      </c>
      <c r="H58" s="165">
        <f>SUM(E58:G60)</f>
        <v>6</v>
      </c>
      <c r="I58" s="205">
        <v>6</v>
      </c>
      <c r="J58" s="206">
        <v>2</v>
      </c>
      <c r="K58" s="158">
        <v>2</v>
      </c>
      <c r="L58" s="196">
        <f>SUM(J58:K60)</f>
        <v>4</v>
      </c>
      <c r="M58" s="200">
        <v>4</v>
      </c>
      <c r="N58" s="194">
        <v>5</v>
      </c>
      <c r="O58" s="195">
        <v>5</v>
      </c>
      <c r="P58" s="195">
        <v>5</v>
      </c>
      <c r="Q58" s="247">
        <f>SUM(N58:P60)</f>
        <v>15</v>
      </c>
      <c r="R58" s="248">
        <v>15</v>
      </c>
      <c r="S58" s="249">
        <v>9</v>
      </c>
      <c r="T58" s="249">
        <v>9</v>
      </c>
      <c r="U58" s="249">
        <v>7</v>
      </c>
      <c r="V58" s="249">
        <v>7</v>
      </c>
      <c r="W58" s="249">
        <v>8</v>
      </c>
      <c r="X58" s="249">
        <v>7</v>
      </c>
      <c r="Y58" s="249">
        <v>7</v>
      </c>
      <c r="Z58" s="269"/>
      <c r="AA58" s="270">
        <f t="shared" ref="AA58" si="32">S58/W58</f>
        <v>1.125</v>
      </c>
      <c r="AB58" s="270">
        <f t="shared" ref="AB58" si="33">T58/W58</f>
        <v>1.125</v>
      </c>
      <c r="AC58" s="270">
        <f t="shared" ref="AC58" si="34">U58/W58</f>
        <v>0.875</v>
      </c>
      <c r="AD58" s="270">
        <f t="shared" ref="AD58" si="35">V58/W58</f>
        <v>0.875</v>
      </c>
      <c r="AE58" s="270">
        <f>X58/W58</f>
        <v>0.875</v>
      </c>
      <c r="AF58" s="297">
        <f>Y58/W58</f>
        <v>0.875</v>
      </c>
      <c r="AG58" s="282"/>
      <c r="AH58" s="329" t="str">
        <f t="shared" ref="AH58:AM58" si="36">IF(AND(AA58&gt;=10%,AA58&lt;=19%),"1",IF(AND(AA58&gt;=20%,AA58&lt;=29%),"2",IF(AND(AA58&gt;=30%,AA58&lt;=39%),"3",IF(AND(AA58&gt;=40%,AA58&lt;=49%),"4",IF(AND(AA58&gt;=50%,AA58&lt;=59%),"5",IF(AND(AA58&gt;=60%,AA58&lt;=69%),"6",IF(AND(AA58&gt;=70%,AA58&lt;=79%),"7",IF(AND(AA58&gt;=80%,AA58&lt;=89%),"8",IF(AND(AA58&gt;=90%,AA58&lt;=99%),"9",IF(AND(AA58&gt;=100%,AA58&lt;=105%),"10",IF(AND(AA58&gt;=106%),"0","0")))))))))))</f>
        <v>0</v>
      </c>
      <c r="AI58" s="329" t="str">
        <f t="shared" si="36"/>
        <v>0</v>
      </c>
      <c r="AJ58" s="329" t="str">
        <f t="shared" si="36"/>
        <v>8</v>
      </c>
      <c r="AK58" s="329" t="str">
        <f t="shared" si="36"/>
        <v>8</v>
      </c>
      <c r="AL58" s="329" t="str">
        <f t="shared" si="36"/>
        <v>8</v>
      </c>
      <c r="AM58" s="329" t="str">
        <f t="shared" si="36"/>
        <v>8</v>
      </c>
      <c r="AN58" s="333"/>
      <c r="AO58" s="381">
        <f>AH58+AI58+AJ58+AK58+AL58+AM58</f>
        <v>32</v>
      </c>
      <c r="AP58" s="382">
        <v>60</v>
      </c>
      <c r="AQ58" s="395">
        <f t="shared" ref="AQ58" si="37">SUM(AO58,Q58,L58,H58)</f>
        <v>57</v>
      </c>
      <c r="AR58" s="396">
        <f t="shared" si="26"/>
        <v>85</v>
      </c>
      <c r="AS58" s="385"/>
      <c r="AT58" s="385"/>
      <c r="AU58" s="363"/>
    </row>
    <row r="59" ht="26.25" customHeight="1" spans="1:47">
      <c r="A59" s="132"/>
      <c r="B59" s="133"/>
      <c r="C59" s="151"/>
      <c r="D59" s="166"/>
      <c r="E59" s="151"/>
      <c r="F59" s="151"/>
      <c r="G59" s="151"/>
      <c r="H59" s="165"/>
      <c r="I59" s="207"/>
      <c r="J59" s="192"/>
      <c r="K59" s="151"/>
      <c r="L59" s="196"/>
      <c r="M59" s="191"/>
      <c r="N59" s="194"/>
      <c r="O59" s="195"/>
      <c r="P59" s="195"/>
      <c r="Q59" s="201"/>
      <c r="R59" s="250"/>
      <c r="S59" s="195"/>
      <c r="T59" s="195"/>
      <c r="U59" s="195"/>
      <c r="V59" s="195"/>
      <c r="W59" s="195"/>
      <c r="X59" s="195"/>
      <c r="Y59" s="195"/>
      <c r="Z59" s="269"/>
      <c r="AA59" s="275"/>
      <c r="AB59" s="275"/>
      <c r="AC59" s="275"/>
      <c r="AD59" s="275"/>
      <c r="AE59" s="275"/>
      <c r="AF59" s="297"/>
      <c r="AG59" s="284"/>
      <c r="AH59" s="331"/>
      <c r="AI59" s="331"/>
      <c r="AJ59" s="331"/>
      <c r="AK59" s="331"/>
      <c r="AL59" s="331"/>
      <c r="AM59" s="331"/>
      <c r="AN59" s="334"/>
      <c r="AO59" s="386"/>
      <c r="AP59" s="382"/>
      <c r="AQ59" s="398"/>
      <c r="AR59" s="399"/>
      <c r="AS59" s="385"/>
      <c r="AT59" s="385"/>
      <c r="AU59" s="363"/>
    </row>
    <row r="60" ht="26.25" customHeight="1" spans="1:47">
      <c r="A60" s="132"/>
      <c r="B60" s="133"/>
      <c r="C60" s="151"/>
      <c r="D60" s="167"/>
      <c r="E60" s="151"/>
      <c r="F60" s="151"/>
      <c r="G60" s="151"/>
      <c r="H60" s="165"/>
      <c r="I60" s="203"/>
      <c r="J60" s="192"/>
      <c r="K60" s="151"/>
      <c r="L60" s="197"/>
      <c r="M60" s="198"/>
      <c r="N60" s="194"/>
      <c r="O60" s="195"/>
      <c r="P60" s="195"/>
      <c r="Q60" s="201"/>
      <c r="R60" s="250"/>
      <c r="S60" s="195"/>
      <c r="T60" s="195"/>
      <c r="U60" s="195"/>
      <c r="V60" s="195"/>
      <c r="W60" s="195"/>
      <c r="X60" s="195"/>
      <c r="Y60" s="195"/>
      <c r="Z60" s="269"/>
      <c r="AA60" s="278"/>
      <c r="AB60" s="278"/>
      <c r="AC60" s="278"/>
      <c r="AD60" s="278"/>
      <c r="AE60" s="278"/>
      <c r="AF60" s="297"/>
      <c r="AG60" s="286"/>
      <c r="AH60" s="321"/>
      <c r="AI60" s="321"/>
      <c r="AJ60" s="321"/>
      <c r="AK60" s="321"/>
      <c r="AL60" s="321"/>
      <c r="AM60" s="321"/>
      <c r="AN60" s="335"/>
      <c r="AO60" s="388"/>
      <c r="AP60" s="382"/>
      <c r="AQ60" s="400"/>
      <c r="AR60" s="402"/>
      <c r="AS60" s="385"/>
      <c r="AT60" s="385"/>
      <c r="AU60" s="363"/>
    </row>
    <row r="61" s="126" customFormat="1" ht="53.65" customHeight="1" spans="1:47">
      <c r="A61" s="168"/>
      <c r="B61" s="133"/>
      <c r="C61" s="169"/>
      <c r="D61" s="170"/>
      <c r="E61" s="171"/>
      <c r="F61" s="172"/>
      <c r="G61" s="173"/>
      <c r="H61" s="174">
        <f>SUM(H11:H58)</f>
        <v>116</v>
      </c>
      <c r="I61" s="174">
        <f>SUM(I11:I58)</f>
        <v>120</v>
      </c>
      <c r="J61" s="208"/>
      <c r="K61" s="209"/>
      <c r="L61" s="174">
        <f>SUM(L11:L58)</f>
        <v>75</v>
      </c>
      <c r="M61" s="174">
        <f>SUM(M11:M58)</f>
        <v>80</v>
      </c>
      <c r="N61" s="210" t="s">
        <v>88</v>
      </c>
      <c r="O61" s="211" t="s">
        <v>89</v>
      </c>
      <c r="P61" s="212" t="s">
        <v>90</v>
      </c>
      <c r="Q61" s="174">
        <f>SUM(Q11:Q58)</f>
        <v>300</v>
      </c>
      <c r="R61" s="174">
        <f>SUM(R11:R58)</f>
        <v>300</v>
      </c>
      <c r="S61" s="251"/>
      <c r="T61" s="252"/>
      <c r="U61" s="252"/>
      <c r="V61" s="252"/>
      <c r="W61" s="252"/>
      <c r="X61" s="252"/>
      <c r="Y61" s="252"/>
      <c r="Z61" s="302"/>
      <c r="AA61" s="303"/>
      <c r="AB61" s="303"/>
      <c r="AC61" s="303"/>
      <c r="AD61" s="303"/>
      <c r="AE61" s="303"/>
      <c r="AF61" s="303"/>
      <c r="AG61" s="303"/>
      <c r="AH61" s="352"/>
      <c r="AI61" s="352"/>
      <c r="AJ61" s="352"/>
      <c r="AK61" s="352"/>
      <c r="AL61" s="352"/>
      <c r="AM61" s="352"/>
      <c r="AN61" s="353"/>
      <c r="AO61" s="174">
        <f>SUM(AO11:AO60)</f>
        <v>700</v>
      </c>
      <c r="AP61" s="403">
        <f>SUM(AP11:AP60)</f>
        <v>800</v>
      </c>
      <c r="AQ61" s="404">
        <f>SUM(AQ11:AQ60)</f>
        <v>1191</v>
      </c>
      <c r="AR61" s="174">
        <f>SUM(AR11:AR60)</f>
        <v>1300</v>
      </c>
      <c r="AS61" s="405"/>
      <c r="AT61" s="406"/>
      <c r="AU61" s="363"/>
    </row>
    <row r="62" ht="38.25" customHeight="1" spans="1:47">
      <c r="A62" s="132"/>
      <c r="B62" s="133"/>
      <c r="C62" s="158" t="s">
        <v>91</v>
      </c>
      <c r="D62" s="155" t="s">
        <v>92</v>
      </c>
      <c r="E62" s="151">
        <v>2</v>
      </c>
      <c r="F62" s="151">
        <v>2</v>
      </c>
      <c r="G62" s="151">
        <v>0</v>
      </c>
      <c r="H62" s="153">
        <f>SUM(E62:G62)</f>
        <v>4</v>
      </c>
      <c r="I62" s="200">
        <v>6</v>
      </c>
      <c r="J62" s="192">
        <v>2</v>
      </c>
      <c r="K62" s="151">
        <v>2</v>
      </c>
      <c r="L62" s="201">
        <f>SUM(J62:K62)</f>
        <v>4</v>
      </c>
      <c r="M62" s="200">
        <v>4</v>
      </c>
      <c r="N62" s="192">
        <v>5</v>
      </c>
      <c r="O62" s="151">
        <v>0</v>
      </c>
      <c r="P62" s="151">
        <v>5</v>
      </c>
      <c r="Q62" s="247">
        <f>SUM(N62:P62)</f>
        <v>10</v>
      </c>
      <c r="R62" s="200">
        <v>15</v>
      </c>
      <c r="S62" s="253">
        <v>1440</v>
      </c>
      <c r="T62" s="253">
        <v>1400</v>
      </c>
      <c r="U62" s="253">
        <v>1436</v>
      </c>
      <c r="V62" s="253">
        <v>1440</v>
      </c>
      <c r="W62" s="254">
        <v>1440</v>
      </c>
      <c r="X62" s="253">
        <v>1440</v>
      </c>
      <c r="Y62" s="299"/>
      <c r="Z62" s="299"/>
      <c r="AA62" s="304">
        <f>S62/W62</f>
        <v>1</v>
      </c>
      <c r="AB62" s="304">
        <f>T62/W62</f>
        <v>0.972222222222222</v>
      </c>
      <c r="AC62" s="304">
        <f>U62/W62</f>
        <v>0.997222222222222</v>
      </c>
      <c r="AD62" s="304">
        <f>V62/W62</f>
        <v>1</v>
      </c>
      <c r="AE62" s="305">
        <f>X62/W62</f>
        <v>1</v>
      </c>
      <c r="AF62" s="306"/>
      <c r="AG62" s="306"/>
      <c r="AH62" s="354"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354" t="str">
        <f t="shared" si="38"/>
        <v>9</v>
      </c>
      <c r="AJ62" s="354" t="str">
        <f t="shared" si="38"/>
        <v>0</v>
      </c>
      <c r="AK62" s="354" t="str">
        <f t="shared" si="38"/>
        <v>10</v>
      </c>
      <c r="AL62" s="354" t="str">
        <f t="shared" si="38"/>
        <v>10</v>
      </c>
      <c r="AM62" s="355"/>
      <c r="AN62" s="355"/>
      <c r="AO62" s="193">
        <f>AH62+AI62+AJ62+AK62+AL62</f>
        <v>39</v>
      </c>
      <c r="AP62" s="407">
        <v>50</v>
      </c>
      <c r="AQ62" s="408">
        <f>SUM(H62,L62,Q62,AO62)</f>
        <v>57</v>
      </c>
      <c r="AR62" s="200">
        <f>SUM(AP62,R62,M62,I62)</f>
        <v>75</v>
      </c>
      <c r="AS62" s="158"/>
      <c r="AT62" s="158"/>
      <c r="AU62" s="363"/>
    </row>
    <row r="63" ht="26.25" customHeight="1" spans="1:47">
      <c r="A63" s="132"/>
      <c r="B63" s="133"/>
      <c r="C63" s="151" t="s">
        <v>93</v>
      </c>
      <c r="D63" s="161" t="s">
        <v>94</v>
      </c>
      <c r="E63" s="151">
        <v>2</v>
      </c>
      <c r="F63" s="151">
        <v>2</v>
      </c>
      <c r="G63" s="151">
        <v>2</v>
      </c>
      <c r="H63" s="153">
        <f>SUM(E63:G65)</f>
        <v>6</v>
      </c>
      <c r="I63" s="191">
        <v>6</v>
      </c>
      <c r="J63" s="192">
        <v>2</v>
      </c>
      <c r="K63" s="151">
        <v>2</v>
      </c>
      <c r="L63" s="201">
        <f>SUM(J63:K65)</f>
        <v>4</v>
      </c>
      <c r="M63" s="191">
        <v>4</v>
      </c>
      <c r="N63" s="156">
        <v>5</v>
      </c>
      <c r="O63" s="156">
        <v>5</v>
      </c>
      <c r="P63" s="156">
        <v>5</v>
      </c>
      <c r="Q63" s="201">
        <f>SUM(N63:P65)</f>
        <v>15</v>
      </c>
      <c r="R63" s="191">
        <v>15</v>
      </c>
      <c r="S63" s="192">
        <v>4</v>
      </c>
      <c r="T63" s="170">
        <v>3</v>
      </c>
      <c r="U63" s="255"/>
      <c r="V63" s="192">
        <v>3</v>
      </c>
      <c r="W63" s="256">
        <v>3</v>
      </c>
      <c r="X63" s="257">
        <v>2</v>
      </c>
      <c r="Y63" s="151"/>
      <c r="Z63" s="255"/>
      <c r="AA63" s="307">
        <f>S63/W63</f>
        <v>1.33333333333333</v>
      </c>
      <c r="AB63" s="307">
        <f>T63/W63</f>
        <v>1</v>
      </c>
      <c r="AC63" s="308"/>
      <c r="AD63" s="307">
        <f>V63/W63</f>
        <v>1</v>
      </c>
      <c r="AE63" s="309">
        <f>X63/W63</f>
        <v>0.666666666666667</v>
      </c>
      <c r="AF63" s="309">
        <f>Y63/W63</f>
        <v>0</v>
      </c>
      <c r="AG63" s="356"/>
      <c r="AH63" s="357" t="str">
        <f t="shared" si="38"/>
        <v>0</v>
      </c>
      <c r="AI63" s="357" t="str">
        <f t="shared" si="38"/>
        <v>10</v>
      </c>
      <c r="AJ63" s="358"/>
      <c r="AK63" s="357" t="str">
        <f t="shared" si="38"/>
        <v>10</v>
      </c>
      <c r="AL63" s="357" t="str">
        <f t="shared" si="38"/>
        <v>6</v>
      </c>
      <c r="AM63" s="357" t="str">
        <f>IF(AND(AF63&gt;=10%,AF63&lt;=19%),"1",IF(AND(AF63&gt;=20%,AF63&lt;=29%),"2",IF(AND(AF63&gt;=30%,AF63&lt;=39%),"3",IF(AND(AF63&gt;=40%,AF63&lt;=49%),"4",IF(AND(AF63&gt;=50%,AF63&lt;=59%),"5",IF(AND(AF63&gt;=60%,AF63&lt;=69%),"6",IF(AND(AF63&gt;=70%,AF63&lt;=79%),"7",IF(AND(AF63&gt;=80%,AF63&lt;=89%),"8",IF(AND(AF63&gt;=90%,AF63&lt;=99%),"9",IF(AND(AF63&gt;=100%,AF63&lt;=105%),"10",IF(AND(AF63&gt;=106%),"0","0")))))))))))</f>
        <v>0</v>
      </c>
      <c r="AN63" s="358"/>
      <c r="AO63" s="193">
        <f>AH63+AI63+AK63+AL63+AM63</f>
        <v>26</v>
      </c>
      <c r="AP63" s="409">
        <v>50</v>
      </c>
      <c r="AQ63" s="408">
        <f>SUM(H63,L63,Q63,AO63)</f>
        <v>51</v>
      </c>
      <c r="AR63" s="191">
        <f>SUM(AP63,R63,M63,I63)</f>
        <v>75</v>
      </c>
      <c r="AS63" s="151"/>
      <c r="AT63" s="151"/>
      <c r="AU63" s="363"/>
    </row>
    <row r="64" ht="26.25" customHeight="1" spans="1:47">
      <c r="A64" s="132"/>
      <c r="B64" s="133"/>
      <c r="C64" s="151"/>
      <c r="D64" s="161"/>
      <c r="E64" s="151"/>
      <c r="F64" s="151"/>
      <c r="G64" s="151"/>
      <c r="H64" s="153"/>
      <c r="I64" s="191"/>
      <c r="J64" s="192"/>
      <c r="K64" s="151"/>
      <c r="L64" s="201"/>
      <c r="M64" s="191"/>
      <c r="N64" s="157"/>
      <c r="O64" s="157"/>
      <c r="P64" s="157"/>
      <c r="Q64" s="201"/>
      <c r="R64" s="191"/>
      <c r="S64" s="192"/>
      <c r="T64" s="170"/>
      <c r="U64" s="255"/>
      <c r="V64" s="192"/>
      <c r="W64" s="258"/>
      <c r="X64" s="259"/>
      <c r="Y64" s="151"/>
      <c r="Z64" s="255"/>
      <c r="AA64" s="310"/>
      <c r="AB64" s="310"/>
      <c r="AC64" s="311"/>
      <c r="AD64" s="310"/>
      <c r="AE64" s="309"/>
      <c r="AF64" s="309"/>
      <c r="AG64" s="359"/>
      <c r="AH64" s="360"/>
      <c r="AI64" s="360"/>
      <c r="AJ64" s="361"/>
      <c r="AK64" s="360"/>
      <c r="AL64" s="360"/>
      <c r="AM64" s="360"/>
      <c r="AN64" s="361"/>
      <c r="AO64" s="196"/>
      <c r="AP64" s="409"/>
      <c r="AQ64" s="410"/>
      <c r="AR64" s="191"/>
      <c r="AS64" s="151"/>
      <c r="AT64" s="151"/>
      <c r="AU64" s="363"/>
    </row>
    <row r="65" ht="26.25" customHeight="1" spans="1:47">
      <c r="A65" s="132"/>
      <c r="B65" s="133"/>
      <c r="C65" s="151"/>
      <c r="D65" s="161"/>
      <c r="E65" s="151"/>
      <c r="F65" s="151"/>
      <c r="G65" s="151"/>
      <c r="H65" s="153"/>
      <c r="I65" s="191"/>
      <c r="J65" s="192"/>
      <c r="K65" s="151"/>
      <c r="L65" s="201"/>
      <c r="M65" s="191"/>
      <c r="N65" s="158"/>
      <c r="O65" s="158"/>
      <c r="P65" s="158"/>
      <c r="Q65" s="201"/>
      <c r="R65" s="191"/>
      <c r="S65" s="192"/>
      <c r="T65" s="170"/>
      <c r="U65" s="255"/>
      <c r="V65" s="192"/>
      <c r="W65" s="452"/>
      <c r="X65" s="453"/>
      <c r="Y65" s="151"/>
      <c r="Z65" s="255"/>
      <c r="AA65" s="459"/>
      <c r="AB65" s="459"/>
      <c r="AC65" s="460"/>
      <c r="AD65" s="459"/>
      <c r="AE65" s="309"/>
      <c r="AF65" s="461"/>
      <c r="AG65" s="484"/>
      <c r="AH65" s="485"/>
      <c r="AI65" s="485"/>
      <c r="AJ65" s="486"/>
      <c r="AK65" s="485"/>
      <c r="AL65" s="485"/>
      <c r="AM65" s="485"/>
      <c r="AN65" s="486"/>
      <c r="AO65" s="197"/>
      <c r="AP65" s="409"/>
      <c r="AQ65" s="499"/>
      <c r="AR65" s="191"/>
      <c r="AS65" s="151"/>
      <c r="AT65" s="151"/>
      <c r="AU65" s="363"/>
    </row>
    <row r="66" ht="16.9" customHeight="1" spans="1:47">
      <c r="A66" s="132"/>
      <c r="B66" s="133"/>
      <c r="C66" s="151" t="s">
        <v>95</v>
      </c>
      <c r="D66" s="161" t="s">
        <v>96</v>
      </c>
      <c r="E66" s="151">
        <v>2</v>
      </c>
      <c r="F66" s="151">
        <v>2</v>
      </c>
      <c r="G66" s="151">
        <v>2</v>
      </c>
      <c r="H66" s="201">
        <f>SUM(E66:G68)</f>
        <v>6</v>
      </c>
      <c r="I66" s="191">
        <v>6</v>
      </c>
      <c r="J66" s="192">
        <v>2</v>
      </c>
      <c r="K66" s="151">
        <v>2</v>
      </c>
      <c r="L66" s="201">
        <f>SUM(J66:K68)</f>
        <v>4</v>
      </c>
      <c r="M66" s="191">
        <v>4</v>
      </c>
      <c r="N66" s="192">
        <v>5</v>
      </c>
      <c r="O66" s="151">
        <v>5</v>
      </c>
      <c r="P66" s="151">
        <v>5</v>
      </c>
      <c r="Q66" s="201">
        <f>SUM(N66:P68)</f>
        <v>15</v>
      </c>
      <c r="R66" s="191">
        <v>15</v>
      </c>
      <c r="S66" s="192">
        <v>6</v>
      </c>
      <c r="T66" s="170">
        <v>6</v>
      </c>
      <c r="U66" s="255"/>
      <c r="V66" s="192">
        <v>3</v>
      </c>
      <c r="W66" s="257">
        <v>2</v>
      </c>
      <c r="X66" s="259"/>
      <c r="Y66" s="157">
        <v>2</v>
      </c>
      <c r="Z66" s="255"/>
      <c r="AA66" s="307">
        <f>S66/W66</f>
        <v>3</v>
      </c>
      <c r="AB66" s="307">
        <f>T66/W66</f>
        <v>3</v>
      </c>
      <c r="AC66" s="308"/>
      <c r="AD66" s="307">
        <f>V66/W66</f>
        <v>1.5</v>
      </c>
      <c r="AE66" s="307">
        <f>Y66/W66</f>
        <v>1</v>
      </c>
      <c r="AF66" s="462">
        <f>Y66/W66</f>
        <v>1</v>
      </c>
      <c r="AG66" s="487"/>
      <c r="AH66" s="357" t="str">
        <f t="shared" ref="AH66:AM66" si="39">IF(AND(AA66&gt;=10%,AA66&lt;=19%),"1",IF(AND(AA66&gt;=20%,AA66&lt;=29%),"2",IF(AND(AA66&gt;=30%,AA66&lt;=39%),"3",IF(AND(AA66&gt;=40%,AA66&lt;=49%),"4",IF(AND(AA66&gt;=50%,AA66&lt;=59%),"5",IF(AND(AA66&gt;=60%,AA66&lt;=69%),"6",IF(AND(AA66&gt;=70%,AA66&lt;=79%),"7",IF(AND(AA66&gt;=80%,AA66&lt;=89%),"8",IF(AND(AA66&gt;=90%,AA66&lt;=99%),"9",IF(AND(AA66&gt;=100%,AA66&lt;=105%),"10",IF(AND(AA66&gt;=106%),"0","0")))))))))))</f>
        <v>0</v>
      </c>
      <c r="AI66" s="357" t="str">
        <f t="shared" si="39"/>
        <v>0</v>
      </c>
      <c r="AJ66" s="358"/>
      <c r="AK66" s="357" t="str">
        <f t="shared" si="39"/>
        <v>0</v>
      </c>
      <c r="AL66" s="357" t="str">
        <f t="shared" si="39"/>
        <v>10</v>
      </c>
      <c r="AM66" s="357" t="str">
        <f t="shared" si="39"/>
        <v>10</v>
      </c>
      <c r="AN66" s="358"/>
      <c r="AO66" s="193">
        <f>AH66+AI66+AK66+AL66+AM66</f>
        <v>20</v>
      </c>
      <c r="AP66" s="409">
        <v>50</v>
      </c>
      <c r="AQ66" s="408">
        <f>SUM(H66,L66,Q66,AO66)</f>
        <v>45</v>
      </c>
      <c r="AR66" s="191">
        <f>SUM(AP66,R66,M66,I66)</f>
        <v>75</v>
      </c>
      <c r="AS66" s="192"/>
      <c r="AT66" s="151"/>
      <c r="AU66" s="363"/>
    </row>
    <row r="67" ht="17.25" customHeight="1" spans="1:47">
      <c r="A67" s="132"/>
      <c r="B67" s="133"/>
      <c r="C67" s="151"/>
      <c r="D67" s="161"/>
      <c r="E67" s="151"/>
      <c r="F67" s="151"/>
      <c r="G67" s="151"/>
      <c r="H67" s="201"/>
      <c r="I67" s="191"/>
      <c r="J67" s="192"/>
      <c r="K67" s="151"/>
      <c r="L67" s="201"/>
      <c r="M67" s="191"/>
      <c r="N67" s="192"/>
      <c r="O67" s="151"/>
      <c r="P67" s="151"/>
      <c r="Q67" s="201"/>
      <c r="R67" s="191"/>
      <c r="S67" s="192"/>
      <c r="T67" s="170"/>
      <c r="U67" s="255"/>
      <c r="V67" s="192"/>
      <c r="W67" s="259"/>
      <c r="X67" s="259">
        <v>2</v>
      </c>
      <c r="Y67" s="157"/>
      <c r="Z67" s="255"/>
      <c r="AA67" s="310"/>
      <c r="AB67" s="310"/>
      <c r="AC67" s="311"/>
      <c r="AD67" s="310"/>
      <c r="AE67" s="310"/>
      <c r="AF67" s="309"/>
      <c r="AG67" s="359"/>
      <c r="AH67" s="360"/>
      <c r="AI67" s="360"/>
      <c r="AJ67" s="361"/>
      <c r="AK67" s="360"/>
      <c r="AL67" s="360"/>
      <c r="AM67" s="360"/>
      <c r="AN67" s="361"/>
      <c r="AO67" s="196"/>
      <c r="AP67" s="409"/>
      <c r="AQ67" s="410"/>
      <c r="AR67" s="191"/>
      <c r="AS67" s="192"/>
      <c r="AT67" s="151"/>
      <c r="AU67" s="363"/>
    </row>
    <row r="68" ht="19.9" customHeight="1" spans="1:47">
      <c r="A68" s="132"/>
      <c r="B68" s="133"/>
      <c r="C68" s="151"/>
      <c r="D68" s="161"/>
      <c r="E68" s="151"/>
      <c r="F68" s="151"/>
      <c r="G68" s="151"/>
      <c r="H68" s="201"/>
      <c r="I68" s="191"/>
      <c r="J68" s="192"/>
      <c r="K68" s="151"/>
      <c r="L68" s="201"/>
      <c r="M68" s="191"/>
      <c r="N68" s="192"/>
      <c r="O68" s="151"/>
      <c r="P68" s="151"/>
      <c r="Q68" s="201"/>
      <c r="R68" s="191"/>
      <c r="S68" s="192"/>
      <c r="T68" s="170"/>
      <c r="U68" s="255"/>
      <c r="V68" s="192"/>
      <c r="W68" s="453"/>
      <c r="X68" s="453"/>
      <c r="Y68" s="158"/>
      <c r="Z68" s="255"/>
      <c r="AA68" s="459"/>
      <c r="AB68" s="459"/>
      <c r="AC68" s="460"/>
      <c r="AD68" s="459"/>
      <c r="AE68" s="459"/>
      <c r="AF68" s="309"/>
      <c r="AG68" s="488"/>
      <c r="AH68" s="485"/>
      <c r="AI68" s="485"/>
      <c r="AJ68" s="486"/>
      <c r="AK68" s="485"/>
      <c r="AL68" s="485"/>
      <c r="AM68" s="485"/>
      <c r="AN68" s="486"/>
      <c r="AO68" s="197"/>
      <c r="AP68" s="409"/>
      <c r="AQ68" s="499"/>
      <c r="AR68" s="191"/>
      <c r="AS68" s="192"/>
      <c r="AT68" s="151"/>
      <c r="AU68" s="363"/>
    </row>
    <row r="69" ht="26.25" customHeight="1" spans="1:47">
      <c r="A69" s="132"/>
      <c r="B69" s="133"/>
      <c r="C69" s="411" t="s">
        <v>97</v>
      </c>
      <c r="D69" s="412" t="s">
        <v>98</v>
      </c>
      <c r="E69" s="413">
        <v>2</v>
      </c>
      <c r="F69" s="413">
        <v>2</v>
      </c>
      <c r="G69" s="413">
        <v>0</v>
      </c>
      <c r="H69" s="414">
        <f>SUM(E69:G69)</f>
        <v>4</v>
      </c>
      <c r="I69" s="191">
        <v>6</v>
      </c>
      <c r="J69" s="413">
        <v>2</v>
      </c>
      <c r="K69" s="413">
        <v>2</v>
      </c>
      <c r="L69" s="414">
        <f>SUM(J69:K69)</f>
        <v>4</v>
      </c>
      <c r="M69" s="191">
        <v>4</v>
      </c>
      <c r="N69" s="445">
        <v>5</v>
      </c>
      <c r="O69" s="413">
        <v>5</v>
      </c>
      <c r="P69" s="446">
        <v>3</v>
      </c>
      <c r="Q69" s="454">
        <f>SUM(N69:P69)</f>
        <v>13</v>
      </c>
      <c r="R69" s="191">
        <v>15</v>
      </c>
      <c r="S69" s="455">
        <v>2</v>
      </c>
      <c r="T69" s="455">
        <v>1</v>
      </c>
      <c r="U69" s="456"/>
      <c r="V69" s="455">
        <v>2</v>
      </c>
      <c r="W69" s="455">
        <v>2</v>
      </c>
      <c r="X69" s="455">
        <v>1</v>
      </c>
      <c r="Y69" s="463"/>
      <c r="Z69" s="464"/>
      <c r="AA69" s="465">
        <f>S69/W69</f>
        <v>1</v>
      </c>
      <c r="AB69" s="465">
        <f>T69/W69</f>
        <v>0.5</v>
      </c>
      <c r="AC69" s="466"/>
      <c r="AD69" s="465">
        <f>V69/W69</f>
        <v>1</v>
      </c>
      <c r="AE69" s="467">
        <f>X69/W69</f>
        <v>0.5</v>
      </c>
      <c r="AF69" s="468"/>
      <c r="AG69" s="468"/>
      <c r="AH69" s="354" t="str">
        <f t="shared" ref="AH69:AI73" si="40">IF(AND(AA69&gt;=10%,AA69&lt;=19%),"1",IF(AND(AA69&gt;=20%,AA69&lt;=29%),"2",IF(AND(AA69&gt;=30%,AA69&lt;=39%),"3",IF(AND(AA69&gt;=40%,AA69&lt;=49%),"4",IF(AND(AA69&gt;=50%,AA69&lt;=59%),"5",IF(AND(AA69&gt;=60%,AA69&lt;=69%),"6",IF(AND(AA69&gt;=70%,AA69&lt;=79%),"7",IF(AND(AA69&gt;=80%,AA69&lt;=89%),"8",IF(AND(AA69&gt;=90%,AA69&lt;=99%),"9",IF(AND(AA69&gt;=100%,AA69&lt;=105%),"10",IF(AND(AA69&gt;=106%),"0","0")))))))))))</f>
        <v>10</v>
      </c>
      <c r="AI69" s="354" t="str">
        <f t="shared" si="40"/>
        <v>5</v>
      </c>
      <c r="AJ69" s="489"/>
      <c r="AK69" s="354" t="str">
        <f t="shared" ref="AK69:AL73" si="41">IF(AND(AD69&gt;=10%,AD69&lt;=19%),"1",IF(AND(AD69&gt;=20%,AD69&lt;=29%),"2",IF(AND(AD69&gt;=30%,AD69&lt;=39%),"3",IF(AND(AD69&gt;=40%,AD69&lt;=49%),"4",IF(AND(AD69&gt;=50%,AD69&lt;=59%),"5",IF(AND(AD69&gt;=60%,AD69&lt;=69%),"6",IF(AND(AD69&gt;=70%,AD69&lt;=79%),"7",IF(AND(AD69&gt;=80%,AD69&lt;=89%),"8",IF(AND(AD69&gt;=90%,AD69&lt;=99%),"9",IF(AND(AD69&gt;=100%,AD69&lt;=105%),"10",IF(AND(AD69&gt;=106%),"0","0")))))))))))</f>
        <v>10</v>
      </c>
      <c r="AL69" s="490" t="str">
        <f t="shared" si="41"/>
        <v>5</v>
      </c>
      <c r="AM69" s="355"/>
      <c r="AN69" s="491"/>
      <c r="AO69" s="160">
        <f>AH69+AI69+AK69+AL69</f>
        <v>30</v>
      </c>
      <c r="AP69" s="500">
        <v>40</v>
      </c>
      <c r="AQ69" s="408">
        <f>SUM(H69,L69,Q69,AO69)</f>
        <v>51</v>
      </c>
      <c r="AR69" s="501">
        <f>SUM(AP69,R69,M69,I69)</f>
        <v>65</v>
      </c>
      <c r="AS69" s="502"/>
      <c r="AT69" s="503"/>
      <c r="AU69" s="363"/>
    </row>
    <row r="70" ht="26.25" customHeight="1" spans="1:47">
      <c r="A70" s="132"/>
      <c r="B70" s="133"/>
      <c r="C70" s="415"/>
      <c r="D70" s="416" t="s">
        <v>99</v>
      </c>
      <c r="E70" s="413">
        <v>2</v>
      </c>
      <c r="F70" s="413">
        <v>0</v>
      </c>
      <c r="G70" s="413">
        <v>2</v>
      </c>
      <c r="H70" s="414">
        <f t="shared" ref="H70:H73" si="42">SUM(E70:G70)</f>
        <v>4</v>
      </c>
      <c r="I70" s="191">
        <v>6</v>
      </c>
      <c r="J70" s="413">
        <v>2</v>
      </c>
      <c r="K70" s="413">
        <v>2</v>
      </c>
      <c r="L70" s="414">
        <f>SUM(J70:K70)</f>
        <v>4</v>
      </c>
      <c r="M70" s="191">
        <v>4</v>
      </c>
      <c r="N70" s="445">
        <v>5</v>
      </c>
      <c r="O70" s="413">
        <v>5</v>
      </c>
      <c r="P70" s="446">
        <v>5</v>
      </c>
      <c r="Q70" s="454">
        <f>SUM(N70:P70)</f>
        <v>15</v>
      </c>
      <c r="R70" s="191">
        <v>15</v>
      </c>
      <c r="S70" s="455">
        <v>0</v>
      </c>
      <c r="T70" s="455">
        <v>0</v>
      </c>
      <c r="U70" s="456"/>
      <c r="V70" s="455">
        <v>0</v>
      </c>
      <c r="W70" s="455">
        <v>0</v>
      </c>
      <c r="X70" s="455">
        <v>0</v>
      </c>
      <c r="Y70" s="463"/>
      <c r="Z70" s="463"/>
      <c r="AA70" s="469" t="e">
        <f>S70/W70</f>
        <v>#DIV/0!</v>
      </c>
      <c r="AB70" s="465" t="e">
        <f>T70/W70</f>
        <v>#DIV/0!</v>
      </c>
      <c r="AC70" s="466"/>
      <c r="AD70" s="465" t="e">
        <f>V70/W70</f>
        <v>#DIV/0!</v>
      </c>
      <c r="AE70" s="467" t="e">
        <f>X70/W70</f>
        <v>#DIV/0!</v>
      </c>
      <c r="AF70" s="468"/>
      <c r="AG70" s="468"/>
      <c r="AH70" s="354" t="e">
        <f t="shared" si="40"/>
        <v>#DIV/0!</v>
      </c>
      <c r="AI70" s="354" t="e">
        <f t="shared" si="40"/>
        <v>#DIV/0!</v>
      </c>
      <c r="AJ70" s="489"/>
      <c r="AK70" s="354" t="e">
        <f t="shared" si="41"/>
        <v>#DIV/0!</v>
      </c>
      <c r="AL70" s="490" t="e">
        <f t="shared" si="41"/>
        <v>#DIV/0!</v>
      </c>
      <c r="AM70" s="355"/>
      <c r="AN70" s="491"/>
      <c r="AO70" s="160">
        <v>40</v>
      </c>
      <c r="AP70" s="500">
        <v>40</v>
      </c>
      <c r="AQ70" s="408">
        <f>SUM(H70,L70,Q70,AO70)</f>
        <v>63</v>
      </c>
      <c r="AR70" s="501">
        <f>SUM(AP70,R70,M70,I70)</f>
        <v>65</v>
      </c>
      <c r="AS70" s="502"/>
      <c r="AT70" s="503"/>
      <c r="AU70" s="363"/>
    </row>
    <row r="71" ht="26.25" customHeight="1" spans="1:47">
      <c r="A71" s="132"/>
      <c r="B71" s="133"/>
      <c r="C71" s="415"/>
      <c r="D71" s="416" t="s">
        <v>100</v>
      </c>
      <c r="E71" s="413">
        <v>2</v>
      </c>
      <c r="F71" s="413">
        <v>2</v>
      </c>
      <c r="G71" s="413">
        <v>2</v>
      </c>
      <c r="H71" s="414">
        <f t="shared" si="42"/>
        <v>6</v>
      </c>
      <c r="I71" s="191">
        <v>6</v>
      </c>
      <c r="J71" s="413">
        <v>2</v>
      </c>
      <c r="K71" s="413">
        <v>2</v>
      </c>
      <c r="L71" s="414">
        <f>SUM(J71:K71)</f>
        <v>4</v>
      </c>
      <c r="M71" s="191">
        <v>4</v>
      </c>
      <c r="N71" s="445">
        <v>5</v>
      </c>
      <c r="O71" s="413">
        <v>5</v>
      </c>
      <c r="P71" s="446">
        <v>5</v>
      </c>
      <c r="Q71" s="454">
        <f>SUM(N71:P71)</f>
        <v>15</v>
      </c>
      <c r="R71" s="191">
        <v>15</v>
      </c>
      <c r="S71" s="455">
        <v>3</v>
      </c>
      <c r="T71" s="455">
        <v>3</v>
      </c>
      <c r="U71" s="456"/>
      <c r="V71" s="455">
        <v>0</v>
      </c>
      <c r="W71" s="455">
        <v>0</v>
      </c>
      <c r="X71" s="455">
        <v>0</v>
      </c>
      <c r="Y71" s="463"/>
      <c r="Z71" s="463"/>
      <c r="AA71" s="469" t="e">
        <f>S71/W71</f>
        <v>#DIV/0!</v>
      </c>
      <c r="AB71" s="465" t="e">
        <f>T71/W71</f>
        <v>#DIV/0!</v>
      </c>
      <c r="AC71" s="466"/>
      <c r="AD71" s="465" t="e">
        <f>V71/W71</f>
        <v>#DIV/0!</v>
      </c>
      <c r="AE71" s="467" t="e">
        <f>X71/W71</f>
        <v>#DIV/0!</v>
      </c>
      <c r="AF71" s="468"/>
      <c r="AG71" s="468"/>
      <c r="AH71" s="354" t="e">
        <f t="shared" si="40"/>
        <v>#DIV/0!</v>
      </c>
      <c r="AI71" s="354" t="e">
        <f t="shared" si="40"/>
        <v>#DIV/0!</v>
      </c>
      <c r="AJ71" s="489"/>
      <c r="AK71" s="354" t="e">
        <f t="shared" si="41"/>
        <v>#DIV/0!</v>
      </c>
      <c r="AL71" s="490" t="e">
        <f t="shared" si="41"/>
        <v>#DIV/0!</v>
      </c>
      <c r="AM71" s="355"/>
      <c r="AN71" s="491"/>
      <c r="AO71" s="160">
        <v>0</v>
      </c>
      <c r="AP71" s="500">
        <v>40</v>
      </c>
      <c r="AQ71" s="408">
        <f>SUM(H71,L71,Q71,AO71)</f>
        <v>25</v>
      </c>
      <c r="AR71" s="501">
        <f t="shared" ref="AR71:AR73" si="43">SUM(AP71,R71,M71,I71)</f>
        <v>65</v>
      </c>
      <c r="AS71" s="502"/>
      <c r="AT71" s="503"/>
      <c r="AU71" s="363"/>
    </row>
    <row r="72" ht="26.25" customHeight="1" spans="1:47">
      <c r="A72" s="132"/>
      <c r="B72" s="133"/>
      <c r="C72" s="415"/>
      <c r="D72" s="416" t="s">
        <v>101</v>
      </c>
      <c r="E72" s="413">
        <v>0</v>
      </c>
      <c r="F72" s="413">
        <v>2</v>
      </c>
      <c r="G72" s="413">
        <v>2</v>
      </c>
      <c r="H72" s="414">
        <f t="shared" si="42"/>
        <v>4</v>
      </c>
      <c r="I72" s="191">
        <v>6</v>
      </c>
      <c r="J72" s="413">
        <v>2</v>
      </c>
      <c r="K72" s="413">
        <v>2</v>
      </c>
      <c r="L72" s="414">
        <f>SUM(J72:K72)</f>
        <v>4</v>
      </c>
      <c r="M72" s="191">
        <v>4</v>
      </c>
      <c r="N72" s="445">
        <v>0</v>
      </c>
      <c r="O72" s="413">
        <v>5</v>
      </c>
      <c r="P72" s="446">
        <v>5</v>
      </c>
      <c r="Q72" s="454">
        <f>SUM(N72:P72)</f>
        <v>10</v>
      </c>
      <c r="R72" s="191">
        <v>15</v>
      </c>
      <c r="S72" s="455">
        <v>2</v>
      </c>
      <c r="T72" s="455">
        <v>4</v>
      </c>
      <c r="U72" s="456"/>
      <c r="V72" s="455">
        <v>4</v>
      </c>
      <c r="W72" s="455">
        <v>4</v>
      </c>
      <c r="X72" s="455">
        <v>4</v>
      </c>
      <c r="Y72" s="463"/>
      <c r="Z72" s="463"/>
      <c r="AA72" s="469">
        <f>S72/W72</f>
        <v>0.5</v>
      </c>
      <c r="AB72" s="465">
        <f>T72/W72</f>
        <v>1</v>
      </c>
      <c r="AC72" s="466"/>
      <c r="AD72" s="465">
        <f>V72/W72</f>
        <v>1</v>
      </c>
      <c r="AE72" s="467">
        <f>X72/W72</f>
        <v>1</v>
      </c>
      <c r="AF72" s="468"/>
      <c r="AG72" s="468"/>
      <c r="AH72" s="354" t="str">
        <f t="shared" si="40"/>
        <v>5</v>
      </c>
      <c r="AI72" s="354" t="str">
        <f t="shared" si="40"/>
        <v>10</v>
      </c>
      <c r="AJ72" s="489"/>
      <c r="AK72" s="354" t="str">
        <f t="shared" si="41"/>
        <v>10</v>
      </c>
      <c r="AL72" s="490" t="str">
        <f t="shared" si="41"/>
        <v>10</v>
      </c>
      <c r="AM72" s="355"/>
      <c r="AN72" s="491"/>
      <c r="AO72" s="160">
        <f>AH72+AI72+AK72+AL72</f>
        <v>35</v>
      </c>
      <c r="AP72" s="500">
        <v>40</v>
      </c>
      <c r="AQ72" s="408">
        <f>SUM(H72,L72,Q72,AO72)</f>
        <v>53</v>
      </c>
      <c r="AR72" s="501">
        <f t="shared" si="43"/>
        <v>65</v>
      </c>
      <c r="AS72" s="502"/>
      <c r="AT72" s="503"/>
      <c r="AU72" s="363"/>
    </row>
    <row r="73" ht="26.25" customHeight="1" spans="1:47">
      <c r="A73" s="132"/>
      <c r="B73" s="133"/>
      <c r="C73" s="417"/>
      <c r="D73" s="418" t="s">
        <v>102</v>
      </c>
      <c r="E73" s="413">
        <v>2</v>
      </c>
      <c r="F73" s="413">
        <v>2</v>
      </c>
      <c r="G73" s="413">
        <v>2</v>
      </c>
      <c r="H73" s="414">
        <f t="shared" si="42"/>
        <v>6</v>
      </c>
      <c r="I73" s="191">
        <v>6</v>
      </c>
      <c r="J73" s="413">
        <v>2</v>
      </c>
      <c r="K73" s="413">
        <v>2</v>
      </c>
      <c r="L73" s="414">
        <f>SUM(J73:K73)</f>
        <v>4</v>
      </c>
      <c r="M73" s="191">
        <v>4</v>
      </c>
      <c r="N73" s="445">
        <v>5</v>
      </c>
      <c r="O73" s="413">
        <v>5</v>
      </c>
      <c r="P73" s="446">
        <v>5</v>
      </c>
      <c r="Q73" s="454">
        <f>SUM(N73:P73)</f>
        <v>15</v>
      </c>
      <c r="R73" s="191">
        <v>15</v>
      </c>
      <c r="S73" s="455">
        <v>0</v>
      </c>
      <c r="T73" s="455">
        <v>0</v>
      </c>
      <c r="U73" s="456"/>
      <c r="V73" s="455">
        <v>0</v>
      </c>
      <c r="W73" s="455">
        <v>0</v>
      </c>
      <c r="X73" s="455">
        <v>0</v>
      </c>
      <c r="Y73" s="463"/>
      <c r="Z73" s="463"/>
      <c r="AA73" s="469" t="e">
        <f>S73/W73</f>
        <v>#DIV/0!</v>
      </c>
      <c r="AB73" s="465" t="e">
        <f>T73/W73</f>
        <v>#DIV/0!</v>
      </c>
      <c r="AC73" s="466"/>
      <c r="AD73" s="465" t="e">
        <f>V72/W73</f>
        <v>#DIV/0!</v>
      </c>
      <c r="AE73" s="467" t="e">
        <f>X73/W73</f>
        <v>#DIV/0!</v>
      </c>
      <c r="AF73" s="468"/>
      <c r="AG73" s="468"/>
      <c r="AH73" s="354" t="e">
        <f t="shared" si="40"/>
        <v>#DIV/0!</v>
      </c>
      <c r="AI73" s="354" t="e">
        <f t="shared" si="40"/>
        <v>#DIV/0!</v>
      </c>
      <c r="AJ73" s="489"/>
      <c r="AK73" s="354" t="e">
        <f t="shared" si="41"/>
        <v>#DIV/0!</v>
      </c>
      <c r="AL73" s="490" t="e">
        <f t="shared" si="41"/>
        <v>#DIV/0!</v>
      </c>
      <c r="AM73" s="355"/>
      <c r="AN73" s="355"/>
      <c r="AO73" s="160">
        <v>40</v>
      </c>
      <c r="AP73" s="500">
        <v>40</v>
      </c>
      <c r="AQ73" s="408">
        <f>SUM(H73,L73,Q73,AO73)</f>
        <v>65</v>
      </c>
      <c r="AR73" s="501">
        <f t="shared" si="43"/>
        <v>65</v>
      </c>
      <c r="AS73" s="502"/>
      <c r="AT73" s="503"/>
      <c r="AU73" s="363"/>
    </row>
    <row r="74" s="126" customFormat="1" ht="63.75" customHeight="1" spans="1:47">
      <c r="A74" s="168"/>
      <c r="B74" s="133"/>
      <c r="C74" s="419"/>
      <c r="D74" s="420"/>
      <c r="E74" s="172"/>
      <c r="F74" s="172"/>
      <c r="G74" s="172"/>
      <c r="H74" s="174">
        <f>SUM(H62:H73)</f>
        <v>40</v>
      </c>
      <c r="I74" s="174">
        <f>SUM(I62:I73)</f>
        <v>48</v>
      </c>
      <c r="J74" s="172"/>
      <c r="K74" s="172"/>
      <c r="L74" s="174">
        <f>SUM(L62:L73)</f>
        <v>32</v>
      </c>
      <c r="M74" s="174">
        <f>SUM(M62:M73)</f>
        <v>32</v>
      </c>
      <c r="N74" s="447"/>
      <c r="O74" s="448"/>
      <c r="P74" s="449"/>
      <c r="Q74" s="174">
        <f>SUM(Q62:Q73)</f>
        <v>108</v>
      </c>
      <c r="R74" s="174">
        <f>SUM(R62:R73)</f>
        <v>120</v>
      </c>
      <c r="S74" s="420"/>
      <c r="T74" s="420"/>
      <c r="U74" s="420"/>
      <c r="V74" s="420"/>
      <c r="W74" s="420"/>
      <c r="X74" s="420"/>
      <c r="Y74" s="420"/>
      <c r="Z74" s="420"/>
      <c r="AA74" s="420"/>
      <c r="AB74" s="420"/>
      <c r="AC74" s="420"/>
      <c r="AD74" s="420"/>
      <c r="AE74" s="420"/>
      <c r="AF74" s="420"/>
      <c r="AG74" s="420"/>
      <c r="AH74" s="420"/>
      <c r="AI74" s="420"/>
      <c r="AJ74" s="420"/>
      <c r="AK74" s="420"/>
      <c r="AL74" s="420"/>
      <c r="AM74" s="420"/>
      <c r="AN74" s="317"/>
      <c r="AO74" s="174">
        <f>SUM(AO62:AO73)</f>
        <v>230</v>
      </c>
      <c r="AP74" s="403">
        <f>SUM(AP62:AP73)</f>
        <v>350</v>
      </c>
      <c r="AQ74" s="404">
        <f>SUM(AQ62:AQ73)</f>
        <v>410</v>
      </c>
      <c r="AR74" s="174">
        <f>SUM(AR62:AR73)</f>
        <v>550</v>
      </c>
      <c r="AS74" s="405"/>
      <c r="AT74" s="406"/>
      <c r="AU74" s="363"/>
    </row>
    <row r="75" ht="32.65" customHeight="1" spans="1:47">
      <c r="A75" s="132"/>
      <c r="B75" s="133"/>
      <c r="C75" s="151" t="s">
        <v>103</v>
      </c>
      <c r="D75" s="161" t="s">
        <v>104</v>
      </c>
      <c r="E75" s="151">
        <v>2</v>
      </c>
      <c r="F75" s="151">
        <v>2</v>
      </c>
      <c r="G75" s="151">
        <v>2</v>
      </c>
      <c r="H75" s="421">
        <f>SUM(E75:G77)</f>
        <v>6</v>
      </c>
      <c r="I75" s="191">
        <v>6</v>
      </c>
      <c r="J75" s="151">
        <v>2</v>
      </c>
      <c r="K75" s="151">
        <v>2</v>
      </c>
      <c r="L75" s="421">
        <f>SUM(J75:K77)</f>
        <v>4</v>
      </c>
      <c r="M75" s="191">
        <v>4</v>
      </c>
      <c r="N75" s="151">
        <v>5</v>
      </c>
      <c r="O75" s="151">
        <v>5</v>
      </c>
      <c r="P75" s="151">
        <v>5</v>
      </c>
      <c r="Q75" s="421">
        <f>SUM(N75:P77)</f>
        <v>15</v>
      </c>
      <c r="R75" s="191">
        <v>15</v>
      </c>
      <c r="S75" s="151">
        <v>1368</v>
      </c>
      <c r="T75" s="151">
        <v>1368</v>
      </c>
      <c r="U75" s="255"/>
      <c r="V75" s="151">
        <v>1368</v>
      </c>
      <c r="W75" s="151">
        <v>1368</v>
      </c>
      <c r="X75" s="151">
        <v>1368</v>
      </c>
      <c r="Y75" s="255"/>
      <c r="Z75" s="255"/>
      <c r="AA75" s="470">
        <f>S75/W75</f>
        <v>1</v>
      </c>
      <c r="AB75" s="470">
        <f>T75/W75</f>
        <v>1</v>
      </c>
      <c r="AC75" s="471"/>
      <c r="AD75" s="470">
        <f>V75/W75</f>
        <v>1</v>
      </c>
      <c r="AE75" s="472">
        <f>X75/W75</f>
        <v>1</v>
      </c>
      <c r="AF75" s="473"/>
      <c r="AG75" s="492"/>
      <c r="AH75" s="357" t="str">
        <f>IF(AND(AA75&gt;=10%,AA75&lt;=19%),"1",IF(AND(AA75&gt;=20%,AA75&lt;=29%),"2",IF(AND(AA75&gt;=30%,AA75&lt;=39%),"3",IF(AND(AA75&gt;=40%,AA75&lt;=49%),"4",IF(AND(AA75&gt;=50%,AA75&lt;=59%),"5",IF(AND(AA75&gt;=60%,AA75&lt;=69%),"6",IF(AND(AA75&gt;=70%,AA75&lt;=79%),"7",IF(AND(AA75&gt;=80%,AA75&lt;=89%),"8",IF(AND(AA75&gt;=90%,AA75&lt;=99%),"9",IF(AND(AA75&gt;=100%,AA75&lt;=105%),"10",IF(AND(AA75&gt;=106%),"0","0")))))))))))</f>
        <v>10</v>
      </c>
      <c r="AI75" s="357" t="str">
        <f>IF(AND(AB75&gt;=10%,AB75&lt;=19%),"1",IF(AND(AB75&gt;=20%,AB75&lt;=29%),"2",IF(AND(AB75&gt;=30%,AB75&lt;=39%),"3",IF(AND(AB75&gt;=40%,AB75&lt;=49%),"4",IF(AND(AB75&gt;=50%,AB75&lt;=59%),"5",IF(AND(AB75&gt;=60%,AB75&lt;=69%),"6",IF(AND(AB75&gt;=70%,AB75&lt;=79%),"7",IF(AND(AB75&gt;=80%,AB75&lt;=89%),"8",IF(AND(AB75&gt;=90%,AB75&lt;=99%),"9",IF(AND(AB75&gt;=100%,AB75&lt;=105%),"10",IF(AND(AB75&gt;=106%),"0","0")))))))))))</f>
        <v>10</v>
      </c>
      <c r="AJ75" s="493"/>
      <c r="AK75" s="357" t="str">
        <f>IF(AND(AD75&gt;=10%,AD75&lt;=19%),"1",IF(AND(AD75&gt;=20%,AD75&lt;=29%),"2",IF(AND(AD75&gt;=30%,AD75&lt;=39%),"3",IF(AND(AD75&gt;=40%,AD75&lt;=49%),"4",IF(AND(AD75&gt;=50%,AD75&lt;=59%),"5",IF(AND(AD75&gt;=60%,AD75&lt;=69%),"6",IF(AND(AD75&gt;=70%,AD75&lt;=79%),"7",IF(AND(AD75&gt;=80%,AD75&lt;=89%),"8",IF(AND(AD75&gt;=90%,AD75&lt;=99%),"9",IF(AND(AD75&gt;=100%,AD75&lt;=105%),"10",IF(AND(AD75&gt;=106%),"0","0")))))))))))</f>
        <v>10</v>
      </c>
      <c r="AL75" s="357" t="str">
        <f>IF(AND(AE75&gt;=10%,AE75&lt;=19%),"1",IF(AND(AE75&gt;=20%,AE75&lt;=29%),"2",IF(AND(AE75&gt;=30%,AE75&lt;=39%),"3",IF(AND(AE75&gt;=40%,AE75&lt;=49%),"4",IF(AND(AE75&gt;=50%,AE75&lt;=59%),"5",IF(AND(AE75&gt;=60%,AE75&lt;=69%),"6",IF(AND(AE75&gt;=70%,AE75&lt;=79%),"7",IF(AND(AE75&gt;=80%,AE75&lt;=89%),"8",IF(AND(AE75&gt;=90%,AE75&lt;=99%),"9",IF(AND(AE75&gt;=100%,AE75&lt;=105%),"10",IF(AND(AE75&gt;=106%),"0","0")))))))))))</f>
        <v>10</v>
      </c>
      <c r="AM75" s="358"/>
      <c r="AN75" s="358"/>
      <c r="AO75" s="193">
        <f>AH75+AI75+AK75+AL75</f>
        <v>40</v>
      </c>
      <c r="AP75" s="409">
        <v>40</v>
      </c>
      <c r="AQ75" s="408">
        <f>SUM(H75,L75,Q75,AO75)</f>
        <v>65</v>
      </c>
      <c r="AR75" s="191">
        <f>SUM(AP75,R75,M75,I75)</f>
        <v>65</v>
      </c>
      <c r="AS75" s="192"/>
      <c r="AT75" s="151"/>
      <c r="AU75" s="363"/>
    </row>
    <row r="76" ht="22.5" customHeight="1" spans="1:47">
      <c r="A76" s="132"/>
      <c r="B76" s="133"/>
      <c r="C76" s="151"/>
      <c r="D76" s="161"/>
      <c r="E76" s="151"/>
      <c r="F76" s="151"/>
      <c r="G76" s="151"/>
      <c r="H76" s="421"/>
      <c r="I76" s="191"/>
      <c r="J76" s="151"/>
      <c r="K76" s="151"/>
      <c r="L76" s="421"/>
      <c r="M76" s="191"/>
      <c r="N76" s="151"/>
      <c r="O76" s="151"/>
      <c r="P76" s="151"/>
      <c r="Q76" s="421"/>
      <c r="R76" s="191"/>
      <c r="S76" s="151"/>
      <c r="T76" s="151"/>
      <c r="U76" s="255"/>
      <c r="V76" s="151"/>
      <c r="W76" s="151"/>
      <c r="X76" s="151"/>
      <c r="Y76" s="255"/>
      <c r="Z76" s="255"/>
      <c r="AA76" s="474"/>
      <c r="AB76" s="474"/>
      <c r="AC76" s="475"/>
      <c r="AD76" s="474"/>
      <c r="AE76" s="472"/>
      <c r="AF76" s="473"/>
      <c r="AG76" s="494"/>
      <c r="AH76" s="360"/>
      <c r="AI76" s="360"/>
      <c r="AJ76" s="495"/>
      <c r="AK76" s="360"/>
      <c r="AL76" s="360"/>
      <c r="AM76" s="361"/>
      <c r="AN76" s="361"/>
      <c r="AO76" s="196"/>
      <c r="AP76" s="409"/>
      <c r="AQ76" s="410"/>
      <c r="AR76" s="191"/>
      <c r="AS76" s="192"/>
      <c r="AT76" s="151"/>
      <c r="AU76" s="363"/>
    </row>
    <row r="77" ht="33.4" customHeight="1" spans="1:47">
      <c r="A77" s="132"/>
      <c r="B77" s="422"/>
      <c r="C77" s="151"/>
      <c r="D77" s="161"/>
      <c r="E77" s="151"/>
      <c r="F77" s="151"/>
      <c r="G77" s="151"/>
      <c r="H77" s="421"/>
      <c r="I77" s="191"/>
      <c r="J77" s="151"/>
      <c r="K77" s="151"/>
      <c r="L77" s="421"/>
      <c r="M77" s="191"/>
      <c r="N77" s="151"/>
      <c r="O77" s="151"/>
      <c r="P77" s="151"/>
      <c r="Q77" s="421"/>
      <c r="R77" s="191"/>
      <c r="S77" s="151"/>
      <c r="T77" s="151"/>
      <c r="U77" s="255"/>
      <c r="V77" s="151"/>
      <c r="W77" s="151"/>
      <c r="X77" s="151"/>
      <c r="Y77" s="255"/>
      <c r="Z77" s="255"/>
      <c r="AA77" s="476"/>
      <c r="AB77" s="476"/>
      <c r="AC77" s="477"/>
      <c r="AD77" s="476"/>
      <c r="AE77" s="472"/>
      <c r="AF77" s="473"/>
      <c r="AG77" s="496"/>
      <c r="AH77" s="485"/>
      <c r="AI77" s="485"/>
      <c r="AJ77" s="497"/>
      <c r="AK77" s="485"/>
      <c r="AL77" s="485"/>
      <c r="AM77" s="486"/>
      <c r="AN77" s="486"/>
      <c r="AO77" s="197"/>
      <c r="AP77" s="409"/>
      <c r="AQ77" s="499"/>
      <c r="AR77" s="191"/>
      <c r="AS77" s="192"/>
      <c r="AT77" s="151"/>
      <c r="AU77" s="504"/>
    </row>
    <row r="78" ht="17.25" customHeight="1" spans="1:47">
      <c r="A78" s="132"/>
      <c r="B78" s="422"/>
      <c r="C78" s="151" t="s">
        <v>105</v>
      </c>
      <c r="D78" s="161" t="s">
        <v>106</v>
      </c>
      <c r="E78" s="151">
        <v>2</v>
      </c>
      <c r="F78" s="151">
        <v>2</v>
      </c>
      <c r="G78" s="151">
        <v>2</v>
      </c>
      <c r="H78" s="421">
        <f t="shared" ref="H78" si="44">SUM(E78:G80)</f>
        <v>6</v>
      </c>
      <c r="I78" s="191">
        <v>6</v>
      </c>
      <c r="J78" s="151">
        <v>2</v>
      </c>
      <c r="K78" s="151">
        <v>2</v>
      </c>
      <c r="L78" s="421">
        <f>SUM(J78:K80)</f>
        <v>4</v>
      </c>
      <c r="M78" s="191">
        <v>4</v>
      </c>
      <c r="N78" s="151">
        <v>5</v>
      </c>
      <c r="O78" s="151">
        <v>5</v>
      </c>
      <c r="P78" s="151">
        <v>5</v>
      </c>
      <c r="Q78" s="421">
        <f>SUM(N78:P80)</f>
        <v>15</v>
      </c>
      <c r="R78" s="191">
        <v>15</v>
      </c>
      <c r="S78" s="151">
        <v>1374</v>
      </c>
      <c r="T78" s="151">
        <v>1374</v>
      </c>
      <c r="U78" s="255"/>
      <c r="V78" s="151">
        <v>1374</v>
      </c>
      <c r="W78" s="151">
        <v>1374</v>
      </c>
      <c r="X78" s="151">
        <v>1374</v>
      </c>
      <c r="Y78" s="255"/>
      <c r="Z78" s="255"/>
      <c r="AA78" s="474">
        <f>S78/W78</f>
        <v>1</v>
      </c>
      <c r="AB78" s="474">
        <f>T78/W78</f>
        <v>1</v>
      </c>
      <c r="AC78" s="475"/>
      <c r="AD78" s="474">
        <f>V78/W78</f>
        <v>1</v>
      </c>
      <c r="AE78" s="472">
        <f>X78/W78</f>
        <v>1</v>
      </c>
      <c r="AF78" s="473"/>
      <c r="AG78" s="492"/>
      <c r="AH78" s="360" t="str">
        <f t="shared" ref="AH78:AL78" si="45">IF(AND(AA78&gt;=10%,AA78&lt;=19%),"1",IF(AND(AA78&gt;=20%,AA78&lt;=29%),"2",IF(AND(AA78&gt;=30%,AA78&lt;=39%),"3",IF(AND(AA78&gt;=40%,AA78&lt;=49%),"4",IF(AND(AA78&gt;=50%,AA78&lt;=59%),"5",IF(AND(AA78&gt;=60%,AA78&lt;=69%),"6",IF(AND(AA78&gt;=70%,AA78&lt;=79%),"7",IF(AND(AA78&gt;=80%,AA78&lt;=89%),"8",IF(AND(AA78&gt;=90%,AA78&lt;=99%),"9",IF(AND(AA78&gt;=100%,AA78&lt;=105%),"10",IF(AND(AA78&gt;=106%),"0","0")))))))))))</f>
        <v>10</v>
      </c>
      <c r="AI78" s="360" t="str">
        <f t="shared" si="45"/>
        <v>10</v>
      </c>
      <c r="AJ78" s="495"/>
      <c r="AK78" s="360" t="str">
        <f t="shared" si="45"/>
        <v>10</v>
      </c>
      <c r="AL78" s="357" t="str">
        <f t="shared" si="45"/>
        <v>10</v>
      </c>
      <c r="AM78" s="361"/>
      <c r="AN78" s="358"/>
      <c r="AO78" s="193">
        <f>AH78+AI78+AK78+AL78</f>
        <v>40</v>
      </c>
      <c r="AP78" s="409">
        <v>40</v>
      </c>
      <c r="AQ78" s="408">
        <f>SUM(H78,L78,Q78,AO78)</f>
        <v>65</v>
      </c>
      <c r="AR78" s="191">
        <f t="shared" ref="AR78" si="46">SUM(AP78,R78,M78,I78)</f>
        <v>65</v>
      </c>
      <c r="AS78" s="192"/>
      <c r="AT78" s="151"/>
      <c r="AU78" s="504"/>
    </row>
    <row r="79" ht="17.25" customHeight="1" spans="1:47">
      <c r="A79" s="132"/>
      <c r="B79" s="422"/>
      <c r="C79" s="151"/>
      <c r="D79" s="161"/>
      <c r="E79" s="151"/>
      <c r="F79" s="151"/>
      <c r="G79" s="151"/>
      <c r="H79" s="421"/>
      <c r="I79" s="191"/>
      <c r="J79" s="151"/>
      <c r="K79" s="151"/>
      <c r="L79" s="421"/>
      <c r="M79" s="191"/>
      <c r="N79" s="151"/>
      <c r="O79" s="151"/>
      <c r="P79" s="151"/>
      <c r="Q79" s="421"/>
      <c r="R79" s="191"/>
      <c r="S79" s="151"/>
      <c r="T79" s="151"/>
      <c r="U79" s="255"/>
      <c r="V79" s="151"/>
      <c r="W79" s="151"/>
      <c r="X79" s="151"/>
      <c r="Y79" s="255"/>
      <c r="Z79" s="255"/>
      <c r="AA79" s="474"/>
      <c r="AB79" s="474"/>
      <c r="AC79" s="475"/>
      <c r="AD79" s="474"/>
      <c r="AE79" s="472"/>
      <c r="AF79" s="473"/>
      <c r="AG79" s="494"/>
      <c r="AH79" s="360"/>
      <c r="AI79" s="360"/>
      <c r="AJ79" s="495"/>
      <c r="AK79" s="360"/>
      <c r="AL79" s="360"/>
      <c r="AM79" s="361"/>
      <c r="AN79" s="361"/>
      <c r="AO79" s="196"/>
      <c r="AP79" s="409"/>
      <c r="AQ79" s="410"/>
      <c r="AR79" s="191"/>
      <c r="AS79" s="192"/>
      <c r="AT79" s="151"/>
      <c r="AU79" s="504"/>
    </row>
    <row r="80" ht="55.9" customHeight="1" spans="1:47">
      <c r="A80" s="132"/>
      <c r="B80" s="422"/>
      <c r="C80" s="151"/>
      <c r="D80" s="161"/>
      <c r="E80" s="151"/>
      <c r="F80" s="151"/>
      <c r="G80" s="151"/>
      <c r="H80" s="421"/>
      <c r="I80" s="191"/>
      <c r="J80" s="151"/>
      <c r="K80" s="151"/>
      <c r="L80" s="421"/>
      <c r="M80" s="191"/>
      <c r="N80" s="151"/>
      <c r="O80" s="151"/>
      <c r="P80" s="151"/>
      <c r="Q80" s="421"/>
      <c r="R80" s="191"/>
      <c r="S80" s="151"/>
      <c r="T80" s="151"/>
      <c r="U80" s="255"/>
      <c r="V80" s="151"/>
      <c r="W80" s="151"/>
      <c r="X80" s="151"/>
      <c r="Y80" s="255"/>
      <c r="Z80" s="255"/>
      <c r="AA80" s="476"/>
      <c r="AB80" s="476"/>
      <c r="AC80" s="477"/>
      <c r="AD80" s="476"/>
      <c r="AE80" s="472"/>
      <c r="AF80" s="473"/>
      <c r="AG80" s="496"/>
      <c r="AH80" s="485"/>
      <c r="AI80" s="485"/>
      <c r="AJ80" s="497"/>
      <c r="AK80" s="485"/>
      <c r="AL80" s="485"/>
      <c r="AM80" s="486"/>
      <c r="AN80" s="486"/>
      <c r="AO80" s="197"/>
      <c r="AP80" s="409"/>
      <c r="AQ80" s="499"/>
      <c r="AR80" s="191"/>
      <c r="AS80" s="192"/>
      <c r="AT80" s="151"/>
      <c r="AU80" s="504"/>
    </row>
    <row r="81" ht="17.25" hidden="1" customHeight="1" spans="1:47">
      <c r="A81" s="132"/>
      <c r="B81" s="422"/>
      <c r="C81" s="156" t="s">
        <v>107</v>
      </c>
      <c r="D81" s="423" t="s">
        <v>108</v>
      </c>
      <c r="E81" s="151"/>
      <c r="F81" s="151"/>
      <c r="G81" s="151"/>
      <c r="H81" s="421">
        <f t="shared" ref="H81" si="47">SUM(E81:G83)</f>
        <v>0</v>
      </c>
      <c r="I81" s="191">
        <v>6</v>
      </c>
      <c r="J81" s="151"/>
      <c r="K81" s="151"/>
      <c r="L81" s="421">
        <f>SUM(J81:K83)</f>
        <v>0</v>
      </c>
      <c r="M81" s="191">
        <v>4</v>
      </c>
      <c r="N81" s="151"/>
      <c r="O81" s="151"/>
      <c r="P81" s="151"/>
      <c r="Q81" s="421">
        <f>SUM(N81:P83)</f>
        <v>0</v>
      </c>
      <c r="R81" s="191">
        <v>15</v>
      </c>
      <c r="S81" s="151"/>
      <c r="T81" s="151"/>
      <c r="U81" s="255"/>
      <c r="V81" s="151"/>
      <c r="W81" s="151"/>
      <c r="X81" s="156"/>
      <c r="Y81" s="255"/>
      <c r="Z81" s="255"/>
      <c r="AA81" s="474" t="e">
        <f>S81/W81</f>
        <v>#DIV/0!</v>
      </c>
      <c r="AB81" s="474" t="e">
        <f>T81/W81</f>
        <v>#DIV/0!</v>
      </c>
      <c r="AC81" s="475"/>
      <c r="AD81" s="474" t="e">
        <f>V81/W81</f>
        <v>#DIV/0!</v>
      </c>
      <c r="AE81" s="472" t="e">
        <f>X81/W81</f>
        <v>#DIV/0!</v>
      </c>
      <c r="AF81" s="473"/>
      <c r="AG81" s="492"/>
      <c r="AH81" s="360" t="e">
        <f t="shared" ref="AH81:AL81" si="48">IF(AND(AA81&gt;=10%,AA81&lt;=19%),"1",IF(AND(AA81&gt;=20%,AA81&lt;=29%),"2",IF(AND(AA81&gt;=30%,AA81&lt;=39%),"3",IF(AND(AA81&gt;=40%,AA81&lt;=49%),"4",IF(AND(AA81&gt;=50%,AA81&lt;=59%),"5",IF(AND(AA81&gt;=60%,AA81&lt;=69%),"6",IF(AND(AA81&gt;=70%,AA81&lt;=79%),"7",IF(AND(AA81&gt;=80%,AA81&lt;=89%),"8",IF(AND(AA81&gt;=90%,AA81&lt;=99%),"9",IF(AND(AA81&gt;=100%,AA81&lt;=105%),"10",IF(AND(AA81&gt;=106%),"0","0")))))))))))</f>
        <v>#DIV/0!</v>
      </c>
      <c r="AI81" s="360" t="e">
        <f t="shared" si="48"/>
        <v>#DIV/0!</v>
      </c>
      <c r="AJ81" s="495"/>
      <c r="AK81" s="360" t="e">
        <f t="shared" si="48"/>
        <v>#DIV/0!</v>
      </c>
      <c r="AL81" s="360" t="e">
        <f t="shared" si="48"/>
        <v>#DIV/0!</v>
      </c>
      <c r="AM81" s="361"/>
      <c r="AN81" s="358"/>
      <c r="AO81" s="193" t="e">
        <f t="shared" ref="AO81" si="49">AH81+AI81+AK81+AL81</f>
        <v>#DIV/0!</v>
      </c>
      <c r="AP81" s="409">
        <v>40</v>
      </c>
      <c r="AQ81" s="408" t="e">
        <f>SUM(H81,L81,Q81,AO81)</f>
        <v>#DIV/0!</v>
      </c>
      <c r="AR81" s="191">
        <f t="shared" ref="AR81" si="50">SUM(AP81,R81,M81,I81)</f>
        <v>65</v>
      </c>
      <c r="AS81" s="192"/>
      <c r="AT81" s="151"/>
      <c r="AU81" s="504"/>
    </row>
    <row r="82" ht="17.25" hidden="1" customHeight="1" spans="1:47">
      <c r="A82" s="132"/>
      <c r="B82" s="422"/>
      <c r="C82" s="157"/>
      <c r="D82" s="424"/>
      <c r="E82" s="151"/>
      <c r="F82" s="151"/>
      <c r="G82" s="151"/>
      <c r="H82" s="421"/>
      <c r="I82" s="191"/>
      <c r="J82" s="151"/>
      <c r="K82" s="151"/>
      <c r="L82" s="421"/>
      <c r="M82" s="191"/>
      <c r="N82" s="151"/>
      <c r="O82" s="151"/>
      <c r="P82" s="151"/>
      <c r="Q82" s="421"/>
      <c r="R82" s="191"/>
      <c r="S82" s="151"/>
      <c r="T82" s="151"/>
      <c r="U82" s="255"/>
      <c r="V82" s="151"/>
      <c r="W82" s="151"/>
      <c r="X82" s="157"/>
      <c r="Y82" s="255"/>
      <c r="Z82" s="255"/>
      <c r="AA82" s="474"/>
      <c r="AB82" s="474"/>
      <c r="AC82" s="475"/>
      <c r="AD82" s="474"/>
      <c r="AE82" s="472"/>
      <c r="AF82" s="473"/>
      <c r="AG82" s="494"/>
      <c r="AH82" s="360"/>
      <c r="AI82" s="360"/>
      <c r="AJ82" s="495"/>
      <c r="AK82" s="360"/>
      <c r="AL82" s="360"/>
      <c r="AM82" s="361"/>
      <c r="AN82" s="361"/>
      <c r="AO82" s="196"/>
      <c r="AP82" s="409"/>
      <c r="AQ82" s="410"/>
      <c r="AR82" s="191"/>
      <c r="AS82" s="192"/>
      <c r="AT82" s="151"/>
      <c r="AU82" s="504"/>
    </row>
    <row r="83" ht="17.25" hidden="1" customHeight="1" spans="1:47">
      <c r="A83" s="132"/>
      <c r="B83" s="422"/>
      <c r="C83" s="158"/>
      <c r="D83" s="425"/>
      <c r="E83" s="151"/>
      <c r="F83" s="151"/>
      <c r="G83" s="151"/>
      <c r="H83" s="421"/>
      <c r="I83" s="191"/>
      <c r="J83" s="151"/>
      <c r="K83" s="151"/>
      <c r="L83" s="421"/>
      <c r="M83" s="191"/>
      <c r="N83" s="151"/>
      <c r="O83" s="151"/>
      <c r="P83" s="151"/>
      <c r="Q83" s="421"/>
      <c r="R83" s="191"/>
      <c r="S83" s="151"/>
      <c r="T83" s="151"/>
      <c r="U83" s="255"/>
      <c r="V83" s="151"/>
      <c r="W83" s="151"/>
      <c r="X83" s="158"/>
      <c r="Y83" s="255"/>
      <c r="Z83" s="255"/>
      <c r="AA83" s="476"/>
      <c r="AB83" s="476"/>
      <c r="AC83" s="477"/>
      <c r="AD83" s="476"/>
      <c r="AE83" s="472"/>
      <c r="AF83" s="473"/>
      <c r="AG83" s="496"/>
      <c r="AH83" s="485"/>
      <c r="AI83" s="485"/>
      <c r="AJ83" s="497"/>
      <c r="AK83" s="485"/>
      <c r="AL83" s="485"/>
      <c r="AM83" s="486"/>
      <c r="AN83" s="486"/>
      <c r="AO83" s="197"/>
      <c r="AP83" s="409"/>
      <c r="AQ83" s="499"/>
      <c r="AR83" s="191"/>
      <c r="AS83" s="192"/>
      <c r="AT83" s="151"/>
      <c r="AU83" s="504"/>
    </row>
    <row r="84" ht="17.25" hidden="1" customHeight="1" spans="1:47">
      <c r="A84" s="132"/>
      <c r="B84" s="422"/>
      <c r="C84" s="156" t="s">
        <v>109</v>
      </c>
      <c r="D84" s="423" t="s">
        <v>110</v>
      </c>
      <c r="E84" s="151"/>
      <c r="F84" s="151"/>
      <c r="G84" s="151"/>
      <c r="H84" s="421">
        <f t="shared" ref="H84" si="51">SUM(E84:G86)</f>
        <v>0</v>
      </c>
      <c r="I84" s="191">
        <v>6</v>
      </c>
      <c r="J84" s="151"/>
      <c r="K84" s="151"/>
      <c r="L84" s="421">
        <f>SUM(J84:K86)</f>
        <v>0</v>
      </c>
      <c r="M84" s="191">
        <v>4</v>
      </c>
      <c r="N84" s="151"/>
      <c r="O84" s="151"/>
      <c r="P84" s="151"/>
      <c r="Q84" s="421">
        <f>SUM(N84:P86)</f>
        <v>0</v>
      </c>
      <c r="R84" s="191">
        <v>15</v>
      </c>
      <c r="S84" s="151"/>
      <c r="T84" s="151"/>
      <c r="U84" s="255"/>
      <c r="V84" s="151"/>
      <c r="W84" s="151"/>
      <c r="X84" s="156"/>
      <c r="Y84" s="255"/>
      <c r="Z84" s="255"/>
      <c r="AA84" s="474" t="e">
        <f>S84/W84</f>
        <v>#DIV/0!</v>
      </c>
      <c r="AB84" s="474" t="e">
        <f>T84/W84</f>
        <v>#DIV/0!</v>
      </c>
      <c r="AC84" s="475"/>
      <c r="AD84" s="474" t="e">
        <f>V84/W84</f>
        <v>#DIV/0!</v>
      </c>
      <c r="AE84" s="472" t="e">
        <f>X84/W84</f>
        <v>#DIV/0!</v>
      </c>
      <c r="AF84" s="473"/>
      <c r="AG84" s="492"/>
      <c r="AH84" s="360" t="e">
        <f t="shared" ref="AH84:AL84" si="52">IF(AND(AA84&gt;=10%,AA84&lt;=19%),"1",IF(AND(AA84&gt;=20%,AA84&lt;=29%),"2",IF(AND(AA84&gt;=30%,AA84&lt;=39%),"3",IF(AND(AA84&gt;=40%,AA84&lt;=49%),"4",IF(AND(AA84&gt;=50%,AA84&lt;=59%),"5",IF(AND(AA84&gt;=60%,AA84&lt;=69%),"6",IF(AND(AA84&gt;=70%,AA84&lt;=79%),"7",IF(AND(AA84&gt;=80%,AA84&lt;=89%),"8",IF(AND(AA84&gt;=90%,AA84&lt;=99%),"9",IF(AND(AA84&gt;=100%,AA84&lt;=105%),"10",IF(AND(AA84&gt;=106%),"0","0")))))))))))</f>
        <v>#DIV/0!</v>
      </c>
      <c r="AI84" s="360" t="e">
        <f t="shared" si="52"/>
        <v>#DIV/0!</v>
      </c>
      <c r="AJ84" s="495"/>
      <c r="AK84" s="360" t="e">
        <f t="shared" si="52"/>
        <v>#DIV/0!</v>
      </c>
      <c r="AL84" s="360" t="e">
        <f t="shared" si="52"/>
        <v>#DIV/0!</v>
      </c>
      <c r="AM84" s="361"/>
      <c r="AN84" s="358"/>
      <c r="AO84" s="193" t="e">
        <f>AH84+AI84+AK84+AL84</f>
        <v>#DIV/0!</v>
      </c>
      <c r="AP84" s="409">
        <v>40</v>
      </c>
      <c r="AQ84" s="408" t="e">
        <f>SUM(H84,L84,Q84,AO84)</f>
        <v>#DIV/0!</v>
      </c>
      <c r="AR84" s="191">
        <f>SUM(AP84,R84,M84,I84)</f>
        <v>65</v>
      </c>
      <c r="AS84" s="192"/>
      <c r="AT84" s="151"/>
      <c r="AU84" s="504"/>
    </row>
    <row r="85" ht="17.25" hidden="1" customHeight="1" spans="1:47">
      <c r="A85" s="132"/>
      <c r="B85" s="422"/>
      <c r="C85" s="157"/>
      <c r="D85" s="424"/>
      <c r="E85" s="151"/>
      <c r="F85" s="151"/>
      <c r="G85" s="151"/>
      <c r="H85" s="421"/>
      <c r="I85" s="191"/>
      <c r="J85" s="151"/>
      <c r="K85" s="151"/>
      <c r="L85" s="421"/>
      <c r="M85" s="191"/>
      <c r="N85" s="151"/>
      <c r="O85" s="151"/>
      <c r="P85" s="151"/>
      <c r="Q85" s="421"/>
      <c r="R85" s="191"/>
      <c r="S85" s="151"/>
      <c r="T85" s="151"/>
      <c r="U85" s="255"/>
      <c r="V85" s="151"/>
      <c r="W85" s="151"/>
      <c r="X85" s="157"/>
      <c r="Y85" s="255"/>
      <c r="Z85" s="255"/>
      <c r="AA85" s="474"/>
      <c r="AB85" s="474"/>
      <c r="AC85" s="475"/>
      <c r="AD85" s="474"/>
      <c r="AE85" s="472"/>
      <c r="AF85" s="473"/>
      <c r="AG85" s="494"/>
      <c r="AH85" s="360"/>
      <c r="AI85" s="360"/>
      <c r="AJ85" s="495"/>
      <c r="AK85" s="360"/>
      <c r="AL85" s="360"/>
      <c r="AM85" s="361"/>
      <c r="AN85" s="361"/>
      <c r="AO85" s="196"/>
      <c r="AP85" s="409"/>
      <c r="AQ85" s="410"/>
      <c r="AR85" s="191"/>
      <c r="AS85" s="192"/>
      <c r="AT85" s="151"/>
      <c r="AU85" s="504"/>
    </row>
    <row r="86" ht="17.25" hidden="1" customHeight="1" spans="1:47">
      <c r="A86" s="132"/>
      <c r="B86" s="422"/>
      <c r="C86" s="158"/>
      <c r="D86" s="425"/>
      <c r="E86" s="151"/>
      <c r="F86" s="151"/>
      <c r="G86" s="151"/>
      <c r="H86" s="421"/>
      <c r="I86" s="191"/>
      <c r="J86" s="151"/>
      <c r="K86" s="151"/>
      <c r="L86" s="421"/>
      <c r="M86" s="191"/>
      <c r="N86" s="151"/>
      <c r="O86" s="151"/>
      <c r="P86" s="151"/>
      <c r="Q86" s="421"/>
      <c r="R86" s="191"/>
      <c r="S86" s="151"/>
      <c r="T86" s="151"/>
      <c r="U86" s="255"/>
      <c r="V86" s="151"/>
      <c r="W86" s="151"/>
      <c r="X86" s="158"/>
      <c r="Y86" s="255"/>
      <c r="Z86" s="255"/>
      <c r="AA86" s="476"/>
      <c r="AB86" s="476"/>
      <c r="AC86" s="477"/>
      <c r="AD86" s="476"/>
      <c r="AE86" s="472"/>
      <c r="AF86" s="473"/>
      <c r="AG86" s="496"/>
      <c r="AH86" s="485"/>
      <c r="AI86" s="485"/>
      <c r="AJ86" s="497"/>
      <c r="AK86" s="485"/>
      <c r="AL86" s="485"/>
      <c r="AM86" s="486"/>
      <c r="AN86" s="486"/>
      <c r="AO86" s="197"/>
      <c r="AP86" s="409"/>
      <c r="AQ86" s="499"/>
      <c r="AR86" s="191"/>
      <c r="AS86" s="192"/>
      <c r="AT86" s="151"/>
      <c r="AU86" s="504"/>
    </row>
    <row r="87" ht="17.25" hidden="1" customHeight="1" spans="1:47">
      <c r="A87" s="132"/>
      <c r="B87" s="422"/>
      <c r="C87" s="156" t="s">
        <v>111</v>
      </c>
      <c r="D87" s="426" t="s">
        <v>112</v>
      </c>
      <c r="E87" s="156"/>
      <c r="F87" s="156"/>
      <c r="G87" s="156"/>
      <c r="H87" s="421">
        <f t="shared" ref="H87" si="53">SUM(E87:G89)</f>
        <v>0</v>
      </c>
      <c r="I87" s="191">
        <v>7</v>
      </c>
      <c r="J87" s="151"/>
      <c r="K87" s="151"/>
      <c r="L87" s="421">
        <f>SUM(J87:K89)</f>
        <v>0</v>
      </c>
      <c r="M87" s="191">
        <v>4</v>
      </c>
      <c r="N87" s="151"/>
      <c r="O87" s="151"/>
      <c r="P87" s="151"/>
      <c r="Q87" s="421">
        <f>SUM(N87:P89)</f>
        <v>0</v>
      </c>
      <c r="R87" s="198">
        <v>15</v>
      </c>
      <c r="S87" s="156"/>
      <c r="T87" s="156"/>
      <c r="U87" s="156"/>
      <c r="V87" s="287"/>
      <c r="W87" s="156"/>
      <c r="X87" s="287"/>
      <c r="Y87" s="287"/>
      <c r="Z87" s="287"/>
      <c r="AA87" s="474" t="e">
        <f>S87/W87</f>
        <v>#DIV/0!</v>
      </c>
      <c r="AB87" s="474" t="e">
        <f>T87/W87</f>
        <v>#DIV/0!</v>
      </c>
      <c r="AC87" s="474" t="e">
        <f>U87/W87</f>
        <v>#DIV/0!</v>
      </c>
      <c r="AD87" s="478"/>
      <c r="AE87" s="478"/>
      <c r="AF87" s="478"/>
      <c r="AG87" s="478"/>
      <c r="AH87" s="360" t="e">
        <f t="shared" ref="AH87:AJ87" si="54">IF(AND(AA87&gt;=10%,AA87&lt;=19%),"1",IF(AND(AA87&gt;=20%,AA87&lt;=29%),"2",IF(AND(AA87&gt;=30%,AA87&lt;=39%),"3",IF(AND(AA87&gt;=40%,AA87&lt;=49%),"4",IF(AND(AA87&gt;=50%,AA87&lt;=59%),"5",IF(AND(AA87&gt;=60%,AA87&lt;=69%),"6",IF(AND(AA87&gt;=70%,AA87&lt;=79%),"7",IF(AND(AA87&gt;=80%,AA87&lt;=89%),"8",IF(AND(AA87&gt;=90%,AA87&lt;=99%),"9",IF(AND(AA87&gt;=100%,AA87&lt;=105%),"10",IF(AND(AA87&gt;=106%),"0","0")))))))))))</f>
        <v>#DIV/0!</v>
      </c>
      <c r="AI87" s="360" t="e">
        <f t="shared" si="54"/>
        <v>#DIV/0!</v>
      </c>
      <c r="AJ87" s="360" t="e">
        <f t="shared" si="54"/>
        <v>#DIV/0!</v>
      </c>
      <c r="AK87" s="358"/>
      <c r="AL87" s="358"/>
      <c r="AM87" s="358"/>
      <c r="AN87" s="358"/>
      <c r="AO87" s="193" t="e">
        <f>AH87+AI87+AJ87</f>
        <v>#DIV/0!</v>
      </c>
      <c r="AP87" s="505">
        <v>30</v>
      </c>
      <c r="AQ87" s="408" t="e">
        <f>SUM(H87,L87,Q87,AO87)</f>
        <v>#DIV/0!</v>
      </c>
      <c r="AR87" s="198">
        <v>55</v>
      </c>
      <c r="AS87" s="192"/>
      <c r="AT87" s="151"/>
      <c r="AU87" s="504"/>
    </row>
    <row r="88" ht="17.25" hidden="1" customHeight="1" spans="1:47">
      <c r="A88" s="132"/>
      <c r="B88" s="422"/>
      <c r="C88" s="157"/>
      <c r="D88" s="427"/>
      <c r="E88" s="157"/>
      <c r="F88" s="157"/>
      <c r="G88" s="157"/>
      <c r="H88" s="421"/>
      <c r="I88" s="191"/>
      <c r="J88" s="151"/>
      <c r="K88" s="151"/>
      <c r="L88" s="421"/>
      <c r="M88" s="191"/>
      <c r="N88" s="151"/>
      <c r="O88" s="151"/>
      <c r="P88" s="151"/>
      <c r="Q88" s="421"/>
      <c r="R88" s="199"/>
      <c r="S88" s="157"/>
      <c r="T88" s="157"/>
      <c r="U88" s="157"/>
      <c r="V88" s="457"/>
      <c r="W88" s="157"/>
      <c r="X88" s="457"/>
      <c r="Y88" s="457"/>
      <c r="Z88" s="457"/>
      <c r="AA88" s="474"/>
      <c r="AB88" s="474"/>
      <c r="AC88" s="474"/>
      <c r="AD88" s="479"/>
      <c r="AE88" s="479"/>
      <c r="AF88" s="479"/>
      <c r="AG88" s="479"/>
      <c r="AH88" s="360"/>
      <c r="AI88" s="360"/>
      <c r="AJ88" s="360"/>
      <c r="AK88" s="361"/>
      <c r="AL88" s="361"/>
      <c r="AM88" s="361"/>
      <c r="AN88" s="361"/>
      <c r="AO88" s="196"/>
      <c r="AP88" s="506"/>
      <c r="AQ88" s="410"/>
      <c r="AR88" s="199"/>
      <c r="AS88" s="192"/>
      <c r="AT88" s="151"/>
      <c r="AU88" s="504"/>
    </row>
    <row r="89" ht="17.25" hidden="1" customHeight="1" spans="1:47">
      <c r="A89" s="132"/>
      <c r="B89" s="422"/>
      <c r="C89" s="158"/>
      <c r="D89" s="428"/>
      <c r="E89" s="158"/>
      <c r="F89" s="158"/>
      <c r="G89" s="158"/>
      <c r="H89" s="421"/>
      <c r="I89" s="191"/>
      <c r="J89" s="151"/>
      <c r="K89" s="151"/>
      <c r="L89" s="421"/>
      <c r="M89" s="191"/>
      <c r="N89" s="151"/>
      <c r="O89" s="151"/>
      <c r="P89" s="151"/>
      <c r="Q89" s="421"/>
      <c r="R89" s="200"/>
      <c r="S89" s="158"/>
      <c r="T89" s="158"/>
      <c r="U89" s="158"/>
      <c r="V89" s="458"/>
      <c r="W89" s="158"/>
      <c r="X89" s="458"/>
      <c r="Y89" s="458"/>
      <c r="Z89" s="458"/>
      <c r="AA89" s="476"/>
      <c r="AB89" s="476"/>
      <c r="AC89" s="476"/>
      <c r="AD89" s="480"/>
      <c r="AE89" s="480"/>
      <c r="AF89" s="480"/>
      <c r="AG89" s="480"/>
      <c r="AH89" s="485"/>
      <c r="AI89" s="485"/>
      <c r="AJ89" s="485"/>
      <c r="AK89" s="486"/>
      <c r="AL89" s="486"/>
      <c r="AM89" s="486"/>
      <c r="AN89" s="486"/>
      <c r="AO89" s="197"/>
      <c r="AP89" s="407"/>
      <c r="AQ89" s="499"/>
      <c r="AR89" s="200"/>
      <c r="AS89" s="192"/>
      <c r="AT89" s="151"/>
      <c r="AU89" s="504"/>
    </row>
    <row r="90" ht="17.25" hidden="1" customHeight="1" spans="1:47">
      <c r="A90" s="132"/>
      <c r="B90" s="422"/>
      <c r="C90" s="156" t="s">
        <v>113</v>
      </c>
      <c r="D90" s="423" t="s">
        <v>114</v>
      </c>
      <c r="E90" s="151"/>
      <c r="F90" s="151"/>
      <c r="G90" s="151"/>
      <c r="H90" s="421">
        <f t="shared" ref="H90" si="55">SUM(E90:G92)</f>
        <v>0</v>
      </c>
      <c r="I90" s="191">
        <v>6</v>
      </c>
      <c r="J90" s="151"/>
      <c r="K90" s="151"/>
      <c r="L90" s="421">
        <f>SUM(J90:K92)</f>
        <v>0</v>
      </c>
      <c r="M90" s="191">
        <v>4</v>
      </c>
      <c r="N90" s="151"/>
      <c r="O90" s="151"/>
      <c r="P90" s="151"/>
      <c r="Q90" s="421">
        <f>SUM(N90:P92)</f>
        <v>0</v>
      </c>
      <c r="R90" s="191">
        <v>15</v>
      </c>
      <c r="S90" s="151"/>
      <c r="T90" s="151"/>
      <c r="U90" s="255"/>
      <c r="V90" s="151"/>
      <c r="W90" s="151"/>
      <c r="X90" s="287"/>
      <c r="Y90" s="255"/>
      <c r="Z90" s="255"/>
      <c r="AA90" s="474" t="e">
        <f>S90/W90</f>
        <v>#DIV/0!</v>
      </c>
      <c r="AB90" s="474" t="e">
        <f>T90/W90</f>
        <v>#DIV/0!</v>
      </c>
      <c r="AC90" s="478"/>
      <c r="AD90" s="474" t="e">
        <f>V90/W90</f>
        <v>#DIV/0!</v>
      </c>
      <c r="AE90" s="481"/>
      <c r="AF90" s="473"/>
      <c r="AG90" s="492"/>
      <c r="AH90" s="360" t="e">
        <f t="shared" ref="AH90:AK90" si="56">IF(AND(AA90&gt;=10%,AA90&lt;=19%),"1",IF(AND(AA90&gt;=20%,AA90&lt;=29%),"2",IF(AND(AA90&gt;=30%,AA90&lt;=39%),"3",IF(AND(AA90&gt;=40%,AA90&lt;=49%),"4",IF(AND(AA90&gt;=50%,AA90&lt;=59%),"5",IF(AND(AA90&gt;=60%,AA90&lt;=69%),"6",IF(AND(AA90&gt;=70%,AA90&lt;=79%),"7",IF(AND(AA90&gt;=80%,AA90&lt;=89%),"8",IF(AND(AA90&gt;=90%,AA90&lt;=99%),"9",IF(AND(AA90&gt;=100%,AA90&lt;=105%),"10",IF(AND(AA90&gt;=106%),"0","0")))))))))))</f>
        <v>#DIV/0!</v>
      </c>
      <c r="AI90" s="360" t="e">
        <f t="shared" si="56"/>
        <v>#DIV/0!</v>
      </c>
      <c r="AJ90" s="358"/>
      <c r="AK90" s="360" t="e">
        <f t="shared" si="56"/>
        <v>#DIV/0!</v>
      </c>
      <c r="AL90" s="361"/>
      <c r="AM90" s="358"/>
      <c r="AN90" s="358"/>
      <c r="AO90" s="193" t="e">
        <f>AH90+AI90+AK90</f>
        <v>#DIV/0!</v>
      </c>
      <c r="AP90" s="409">
        <v>30</v>
      </c>
      <c r="AQ90" s="408" t="e">
        <f>SUM(H90,L90,Q90,AO90)</f>
        <v>#DIV/0!</v>
      </c>
      <c r="AR90" s="191">
        <f t="shared" ref="AR90" si="57">SUM(AP90,R90,M90,I90)</f>
        <v>55</v>
      </c>
      <c r="AS90" s="192"/>
      <c r="AT90" s="151"/>
      <c r="AU90" s="504"/>
    </row>
    <row r="91" ht="17.25" hidden="1" customHeight="1" spans="1:47">
      <c r="A91" s="132"/>
      <c r="B91" s="422"/>
      <c r="C91" s="157"/>
      <c r="D91" s="424"/>
      <c r="E91" s="151"/>
      <c r="F91" s="151"/>
      <c r="G91" s="151"/>
      <c r="H91" s="421"/>
      <c r="I91" s="191"/>
      <c r="J91" s="151"/>
      <c r="K91" s="151"/>
      <c r="L91" s="421"/>
      <c r="M91" s="191"/>
      <c r="N91" s="151"/>
      <c r="O91" s="151"/>
      <c r="P91" s="151"/>
      <c r="Q91" s="421"/>
      <c r="R91" s="191"/>
      <c r="S91" s="151"/>
      <c r="T91" s="151"/>
      <c r="U91" s="255"/>
      <c r="V91" s="151"/>
      <c r="W91" s="151"/>
      <c r="X91" s="457"/>
      <c r="Y91" s="255"/>
      <c r="Z91" s="255"/>
      <c r="AA91" s="474"/>
      <c r="AB91" s="474"/>
      <c r="AC91" s="479"/>
      <c r="AD91" s="474"/>
      <c r="AE91" s="481"/>
      <c r="AF91" s="473"/>
      <c r="AG91" s="494"/>
      <c r="AH91" s="360"/>
      <c r="AI91" s="360"/>
      <c r="AJ91" s="361"/>
      <c r="AK91" s="360"/>
      <c r="AL91" s="361"/>
      <c r="AM91" s="361"/>
      <c r="AN91" s="361"/>
      <c r="AO91" s="196"/>
      <c r="AP91" s="409"/>
      <c r="AQ91" s="410"/>
      <c r="AR91" s="191"/>
      <c r="AS91" s="192"/>
      <c r="AT91" s="151"/>
      <c r="AU91" s="504"/>
    </row>
    <row r="92" ht="15.7" hidden="1" customHeight="1" spans="1:47">
      <c r="A92" s="132"/>
      <c r="B92" s="422"/>
      <c r="C92" s="158"/>
      <c r="D92" s="425"/>
      <c r="E92" s="151"/>
      <c r="F92" s="151"/>
      <c r="G92" s="151"/>
      <c r="H92" s="421"/>
      <c r="I92" s="191"/>
      <c r="J92" s="151"/>
      <c r="K92" s="151"/>
      <c r="L92" s="421"/>
      <c r="M92" s="191"/>
      <c r="N92" s="151"/>
      <c r="O92" s="151"/>
      <c r="P92" s="151"/>
      <c r="Q92" s="421"/>
      <c r="R92" s="191"/>
      <c r="S92" s="151"/>
      <c r="T92" s="151"/>
      <c r="U92" s="255"/>
      <c r="V92" s="151"/>
      <c r="W92" s="151"/>
      <c r="X92" s="458"/>
      <c r="Y92" s="255"/>
      <c r="Z92" s="255"/>
      <c r="AA92" s="476"/>
      <c r="AB92" s="476"/>
      <c r="AC92" s="480"/>
      <c r="AD92" s="476"/>
      <c r="AE92" s="481"/>
      <c r="AF92" s="473"/>
      <c r="AG92" s="496"/>
      <c r="AH92" s="485"/>
      <c r="AI92" s="485"/>
      <c r="AJ92" s="486"/>
      <c r="AK92" s="485"/>
      <c r="AL92" s="486"/>
      <c r="AM92" s="486"/>
      <c r="AN92" s="486"/>
      <c r="AO92" s="197"/>
      <c r="AP92" s="409"/>
      <c r="AQ92" s="499"/>
      <c r="AR92" s="191"/>
      <c r="AS92" s="192"/>
      <c r="AT92" s="151"/>
      <c r="AU92" s="504"/>
    </row>
    <row r="93" ht="15.7" hidden="1" customHeight="1" spans="1:47">
      <c r="A93" s="132"/>
      <c r="B93" s="422"/>
      <c r="C93" s="156" t="s">
        <v>115</v>
      </c>
      <c r="D93" s="423" t="s">
        <v>116</v>
      </c>
      <c r="E93" s="151"/>
      <c r="F93" s="151"/>
      <c r="G93" s="151"/>
      <c r="H93" s="421">
        <f t="shared" ref="H93" si="58">SUM(E93:G95)</f>
        <v>0</v>
      </c>
      <c r="I93" s="191">
        <v>6</v>
      </c>
      <c r="J93" s="151"/>
      <c r="K93" s="151"/>
      <c r="L93" s="421">
        <f>SUM(J93:K95)</f>
        <v>0</v>
      </c>
      <c r="M93" s="191">
        <v>4</v>
      </c>
      <c r="N93" s="151"/>
      <c r="O93" s="151"/>
      <c r="P93" s="151"/>
      <c r="Q93" s="421">
        <f>SUM(N93:P95)</f>
        <v>0</v>
      </c>
      <c r="R93" s="191">
        <v>15</v>
      </c>
      <c r="S93" s="151"/>
      <c r="T93" s="151"/>
      <c r="U93" s="255"/>
      <c r="V93" s="151"/>
      <c r="W93" s="151"/>
      <c r="X93" s="287"/>
      <c r="Y93" s="287"/>
      <c r="Z93" s="255"/>
      <c r="AA93" s="474" t="e">
        <f>S93/W93</f>
        <v>#DIV/0!</v>
      </c>
      <c r="AB93" s="474" t="e">
        <f>T93/W93</f>
        <v>#DIV/0!</v>
      </c>
      <c r="AC93" s="479"/>
      <c r="AD93" s="474" t="e">
        <f>V93/W93</f>
        <v>#DIV/0!</v>
      </c>
      <c r="AE93" s="481"/>
      <c r="AF93" s="473"/>
      <c r="AG93" s="492"/>
      <c r="AH93" s="360" t="e">
        <f t="shared" ref="AH93:AK93" si="59">IF(AND(AA93&gt;=10%,AA93&lt;=19%),"1",IF(AND(AA93&gt;=20%,AA93&lt;=29%),"2",IF(AND(AA93&gt;=30%,AA93&lt;=39%),"3",IF(AND(AA93&gt;=40%,AA93&lt;=49%),"4",IF(AND(AA93&gt;=50%,AA93&lt;=59%),"5",IF(AND(AA93&gt;=60%,AA93&lt;=69%),"6",IF(AND(AA93&gt;=70%,AA93&lt;=79%),"7",IF(AND(AA93&gt;=80%,AA93&lt;=89%),"8",IF(AND(AA93&gt;=90%,AA93&lt;=99%),"9",IF(AND(AA93&gt;=100%,AA93&lt;=105%),"10",IF(AND(AA93&gt;=106%),"0","0")))))))))))</f>
        <v>#DIV/0!</v>
      </c>
      <c r="AI93" s="360" t="e">
        <f t="shared" si="59"/>
        <v>#DIV/0!</v>
      </c>
      <c r="AJ93" s="361"/>
      <c r="AK93" s="360" t="e">
        <f t="shared" si="59"/>
        <v>#DIV/0!</v>
      </c>
      <c r="AL93" s="361"/>
      <c r="AM93" s="361"/>
      <c r="AN93" s="358"/>
      <c r="AO93" s="193" t="e">
        <f>AH93+AI93+AK93</f>
        <v>#DIV/0!</v>
      </c>
      <c r="AP93" s="409">
        <v>30</v>
      </c>
      <c r="AQ93" s="408" t="e">
        <f>SUM(H93,L93,Q93,AO93)</f>
        <v>#DIV/0!</v>
      </c>
      <c r="AR93" s="191">
        <f t="shared" ref="AR93" si="60">SUM(AP93,R93,M93,I93)</f>
        <v>55</v>
      </c>
      <c r="AS93" s="192"/>
      <c r="AT93" s="151"/>
      <c r="AU93" s="504"/>
    </row>
    <row r="94" ht="15.7" hidden="1" customHeight="1" spans="1:47">
      <c r="A94" s="132"/>
      <c r="B94" s="422"/>
      <c r="C94" s="157"/>
      <c r="D94" s="424"/>
      <c r="E94" s="151"/>
      <c r="F94" s="151"/>
      <c r="G94" s="151"/>
      <c r="H94" s="421"/>
      <c r="I94" s="191"/>
      <c r="J94" s="151"/>
      <c r="K94" s="151"/>
      <c r="L94" s="421"/>
      <c r="M94" s="191"/>
      <c r="N94" s="151"/>
      <c r="O94" s="151"/>
      <c r="P94" s="151"/>
      <c r="Q94" s="421"/>
      <c r="R94" s="191"/>
      <c r="S94" s="151"/>
      <c r="T94" s="151"/>
      <c r="U94" s="255"/>
      <c r="V94" s="151"/>
      <c r="W94" s="151"/>
      <c r="X94" s="457"/>
      <c r="Y94" s="457"/>
      <c r="Z94" s="255"/>
      <c r="AA94" s="474"/>
      <c r="AB94" s="474"/>
      <c r="AC94" s="479"/>
      <c r="AD94" s="474"/>
      <c r="AE94" s="481"/>
      <c r="AF94" s="473"/>
      <c r="AG94" s="494"/>
      <c r="AH94" s="360"/>
      <c r="AI94" s="360"/>
      <c r="AJ94" s="361"/>
      <c r="AK94" s="360"/>
      <c r="AL94" s="361"/>
      <c r="AM94" s="361"/>
      <c r="AN94" s="361"/>
      <c r="AO94" s="196"/>
      <c r="AP94" s="409"/>
      <c r="AQ94" s="410"/>
      <c r="AR94" s="191"/>
      <c r="AS94" s="192"/>
      <c r="AT94" s="151"/>
      <c r="AU94" s="504"/>
    </row>
    <row r="95" ht="15.7" hidden="1" customHeight="1" spans="1:47">
      <c r="A95" s="132"/>
      <c r="B95" s="422"/>
      <c r="C95" s="158"/>
      <c r="D95" s="425"/>
      <c r="E95" s="151"/>
      <c r="F95" s="151"/>
      <c r="G95" s="151"/>
      <c r="H95" s="421"/>
      <c r="I95" s="191"/>
      <c r="J95" s="151"/>
      <c r="K95" s="151"/>
      <c r="L95" s="421"/>
      <c r="M95" s="191"/>
      <c r="N95" s="151"/>
      <c r="O95" s="151"/>
      <c r="P95" s="151"/>
      <c r="Q95" s="421"/>
      <c r="R95" s="191"/>
      <c r="S95" s="151"/>
      <c r="T95" s="151"/>
      <c r="U95" s="255"/>
      <c r="V95" s="151"/>
      <c r="W95" s="151"/>
      <c r="X95" s="458"/>
      <c r="Y95" s="458"/>
      <c r="Z95" s="255"/>
      <c r="AA95" s="476"/>
      <c r="AB95" s="476"/>
      <c r="AC95" s="480"/>
      <c r="AD95" s="476"/>
      <c r="AE95" s="481"/>
      <c r="AF95" s="473"/>
      <c r="AG95" s="496"/>
      <c r="AH95" s="485"/>
      <c r="AI95" s="485"/>
      <c r="AJ95" s="486"/>
      <c r="AK95" s="485"/>
      <c r="AL95" s="486"/>
      <c r="AM95" s="486"/>
      <c r="AN95" s="486"/>
      <c r="AO95" s="197"/>
      <c r="AP95" s="409"/>
      <c r="AQ95" s="499"/>
      <c r="AR95" s="191"/>
      <c r="AS95" s="192"/>
      <c r="AT95" s="151"/>
      <c r="AU95" s="504"/>
    </row>
    <row r="96" s="126" customFormat="1" ht="39.75" customHeight="1" spans="1:47">
      <c r="A96" s="168"/>
      <c r="B96" s="133"/>
      <c r="C96" s="429"/>
      <c r="D96" s="425"/>
      <c r="E96" s="430"/>
      <c r="F96" s="430"/>
      <c r="G96" s="430"/>
      <c r="H96" s="431">
        <f>H75+H78</f>
        <v>12</v>
      </c>
      <c r="I96" s="431">
        <f>SUM(I75:I80)</f>
        <v>12</v>
      </c>
      <c r="J96" s="430"/>
      <c r="K96" s="430"/>
      <c r="L96" s="431">
        <f>SUM(L75:L95)</f>
        <v>8</v>
      </c>
      <c r="M96" s="431">
        <f>SUM(M75:M80)</f>
        <v>8</v>
      </c>
      <c r="N96" s="430"/>
      <c r="O96" s="430"/>
      <c r="P96" s="430"/>
      <c r="Q96" s="431">
        <f>SUM(Q75:Q95)</f>
        <v>30</v>
      </c>
      <c r="R96" s="431">
        <f>SUM(R75:R80)</f>
        <v>30</v>
      </c>
      <c r="S96" s="430"/>
      <c r="T96" s="430"/>
      <c r="U96" s="430"/>
      <c r="V96" s="430"/>
      <c r="W96" s="430"/>
      <c r="X96" s="430"/>
      <c r="Y96" s="430"/>
      <c r="Z96" s="430"/>
      <c r="AA96" s="482"/>
      <c r="AB96" s="482"/>
      <c r="AC96" s="482"/>
      <c r="AD96" s="482"/>
      <c r="AE96" s="482"/>
      <c r="AF96" s="482"/>
      <c r="AG96" s="482"/>
      <c r="AH96" s="482"/>
      <c r="AI96" s="482"/>
      <c r="AJ96" s="482"/>
      <c r="AK96" s="482"/>
      <c r="AL96" s="482"/>
      <c r="AM96" s="482"/>
      <c r="AN96" s="482"/>
      <c r="AO96" s="482">
        <f>AO75+AO78</f>
        <v>80</v>
      </c>
      <c r="AP96" s="482">
        <f>AP75+AP78</f>
        <v>80</v>
      </c>
      <c r="AQ96" s="507">
        <f>AQ75+AQ78</f>
        <v>130</v>
      </c>
      <c r="AR96" s="482">
        <f>SUM(AR75:AR80)</f>
        <v>130</v>
      </c>
      <c r="AS96" s="508"/>
      <c r="AT96" s="508"/>
      <c r="AU96" s="504"/>
    </row>
    <row r="97" s="126" customFormat="1" ht="27" spans="1:47">
      <c r="A97" s="168"/>
      <c r="B97" s="133"/>
      <c r="C97" s="432"/>
      <c r="D97" s="420" t="s">
        <v>117</v>
      </c>
      <c r="E97" s="433"/>
      <c r="F97" s="433"/>
      <c r="G97" s="433"/>
      <c r="H97" s="174">
        <f>SUM(H96+H74+H61)</f>
        <v>168</v>
      </c>
      <c r="I97" s="174">
        <f>SUM(I96+I74+I61)</f>
        <v>180</v>
      </c>
      <c r="J97" s="450">
        <f>H97/I97</f>
        <v>0.933333333333333</v>
      </c>
      <c r="K97" s="420"/>
      <c r="L97" s="174">
        <f>SUM(L96+L74+L61)</f>
        <v>115</v>
      </c>
      <c r="M97" s="174">
        <f>SUM(M96+M74+M61)</f>
        <v>120</v>
      </c>
      <c r="N97" s="450">
        <f>L97/M97</f>
        <v>0.958333333333333</v>
      </c>
      <c r="O97" s="420"/>
      <c r="P97" s="420"/>
      <c r="Q97" s="174">
        <f>SUM(Q96+Q74+Q61)</f>
        <v>438</v>
      </c>
      <c r="R97" s="174">
        <f>SUM(R96+R74+R61)</f>
        <v>450</v>
      </c>
      <c r="S97" s="450">
        <f>Q97/R97</f>
        <v>0.973333333333333</v>
      </c>
      <c r="T97" s="420"/>
      <c r="U97" s="420"/>
      <c r="V97" s="420"/>
      <c r="W97" s="420"/>
      <c r="X97" s="420"/>
      <c r="Y97" s="420"/>
      <c r="Z97" s="420"/>
      <c r="AA97" s="420"/>
      <c r="AB97" s="420"/>
      <c r="AC97" s="420"/>
      <c r="AD97" s="420"/>
      <c r="AE97" s="420"/>
      <c r="AF97" s="420"/>
      <c r="AG97" s="420"/>
      <c r="AH97" s="420"/>
      <c r="AI97" s="420"/>
      <c r="AJ97" s="420"/>
      <c r="AK97" s="420"/>
      <c r="AL97" s="420"/>
      <c r="AM97" s="450">
        <f>AO97/AP97</f>
        <v>0.821138211382114</v>
      </c>
      <c r="AN97" s="498"/>
      <c r="AO97" s="174">
        <f>SUM(AO96+AO74+AO61)</f>
        <v>1010</v>
      </c>
      <c r="AP97" s="174">
        <f>SUM(AP96+AP74+AP61)</f>
        <v>1230</v>
      </c>
      <c r="AQ97" s="404">
        <f>SUM(AQ96+AQ74+AQ61)</f>
        <v>1731</v>
      </c>
      <c r="AR97" s="174">
        <f>SUM(AR96+AR74+AR61)</f>
        <v>1980</v>
      </c>
      <c r="AS97" s="509">
        <f>AQ97/AR97</f>
        <v>0.874242424242424</v>
      </c>
      <c r="AT97" s="510"/>
      <c r="AU97" s="504"/>
    </row>
    <row r="98" ht="21" spans="1:47">
      <c r="A98" s="132"/>
      <c r="B98" s="422"/>
      <c r="C98" s="434"/>
      <c r="D98" s="435"/>
      <c r="E98" s="435"/>
      <c r="F98" s="435"/>
      <c r="G98" s="435"/>
      <c r="H98" s="435"/>
      <c r="I98" s="435"/>
      <c r="J98" s="435"/>
      <c r="K98" s="435"/>
      <c r="L98" s="435"/>
      <c r="M98" s="435"/>
      <c r="N98" s="435"/>
      <c r="O98" s="435"/>
      <c r="P98" s="435"/>
      <c r="Q98" s="435"/>
      <c r="R98" s="435"/>
      <c r="S98" s="435"/>
      <c r="T98" s="435"/>
      <c r="U98" s="435"/>
      <c r="V98" s="435"/>
      <c r="W98" s="435"/>
      <c r="X98" s="435"/>
      <c r="Y98" s="435"/>
      <c r="Z98" s="435"/>
      <c r="AA98" s="435"/>
      <c r="AB98" s="435"/>
      <c r="AC98" s="435"/>
      <c r="AD98" s="435"/>
      <c r="AE98" s="435"/>
      <c r="AF98" s="435"/>
      <c r="AG98" s="435"/>
      <c r="AH98" s="435"/>
      <c r="AI98" s="435"/>
      <c r="AJ98" s="435"/>
      <c r="AK98" s="435"/>
      <c r="AL98" s="435"/>
      <c r="AM98" s="435"/>
      <c r="AN98" s="435"/>
      <c r="AO98" s="435"/>
      <c r="AP98" s="435"/>
      <c r="AQ98" s="435"/>
      <c r="AR98" s="435"/>
      <c r="AS98" s="435"/>
      <c r="AT98" s="435"/>
      <c r="AU98" s="504"/>
    </row>
    <row r="99" spans="2:47">
      <c r="B99" s="436"/>
      <c r="C99" s="437"/>
      <c r="D99" s="438"/>
      <c r="E99" s="437"/>
      <c r="F99" s="437"/>
      <c r="G99" s="437"/>
      <c r="H99" s="437"/>
      <c r="I99" s="437"/>
      <c r="J99" s="437"/>
      <c r="K99" s="437"/>
      <c r="L99" s="437"/>
      <c r="M99" s="437"/>
      <c r="N99" s="437"/>
      <c r="O99" s="437"/>
      <c r="P99" s="437"/>
      <c r="Q99" s="437"/>
      <c r="R99" s="437"/>
      <c r="S99" s="437"/>
      <c r="T99" s="437"/>
      <c r="U99" s="437"/>
      <c r="V99" s="437"/>
      <c r="W99" s="437"/>
      <c r="X99" s="437"/>
      <c r="Y99" s="437"/>
      <c r="Z99" s="437"/>
      <c r="AA99" s="437"/>
      <c r="AB99" s="437"/>
      <c r="AC99" s="437"/>
      <c r="AD99" s="437"/>
      <c r="AE99" s="437"/>
      <c r="AF99" s="437"/>
      <c r="AG99" s="437"/>
      <c r="AH99" s="437"/>
      <c r="AI99" s="437"/>
      <c r="AJ99" s="437"/>
      <c r="AK99" s="437"/>
      <c r="AL99" s="437"/>
      <c r="AM99" s="437"/>
      <c r="AN99" s="437"/>
      <c r="AO99" s="437"/>
      <c r="AP99" s="437"/>
      <c r="AQ99" s="437"/>
      <c r="AR99" s="437"/>
      <c r="AS99" s="437"/>
      <c r="AT99" s="437"/>
      <c r="AU99" s="511"/>
    </row>
    <row r="100" ht="36.75" customHeight="1" spans="2:47">
      <c r="B100" s="439" t="s">
        <v>118</v>
      </c>
      <c r="C100" s="440"/>
      <c r="D100" s="440"/>
      <c r="E100" s="440"/>
      <c r="F100" s="440"/>
      <c r="G100" s="440"/>
      <c r="H100" s="440"/>
      <c r="I100" s="440"/>
      <c r="J100" s="440"/>
      <c r="K100" s="440"/>
      <c r="L100" s="440"/>
      <c r="M100" s="440"/>
      <c r="N100" s="440"/>
      <c r="O100" s="440"/>
      <c r="P100" s="440"/>
      <c r="Q100" s="440"/>
      <c r="R100" s="440"/>
      <c r="S100" s="440"/>
      <c r="T100" s="440"/>
      <c r="U100" s="440"/>
      <c r="V100" s="440"/>
      <c r="W100" s="440"/>
      <c r="X100" s="440"/>
      <c r="Y100" s="440"/>
      <c r="Z100" s="440"/>
      <c r="AA100" s="440"/>
      <c r="AB100" s="440"/>
      <c r="AC100" s="440"/>
      <c r="AD100" s="440"/>
      <c r="AE100" s="440"/>
      <c r="AF100" s="440"/>
      <c r="AG100" s="440"/>
      <c r="AH100" s="440"/>
      <c r="AI100" s="440"/>
      <c r="AJ100" s="440"/>
      <c r="AK100" s="440"/>
      <c r="AL100" s="440"/>
      <c r="AM100" s="440"/>
      <c r="AN100" s="440"/>
      <c r="AO100" s="440"/>
      <c r="AU100" s="512"/>
    </row>
    <row r="101" ht="45" customHeight="1" spans="2:47">
      <c r="B101" s="441" t="s">
        <v>119</v>
      </c>
      <c r="C101" s="442"/>
      <c r="D101" s="443"/>
      <c r="E101" s="442"/>
      <c r="F101" s="442"/>
      <c r="G101" s="442"/>
      <c r="H101" s="442"/>
      <c r="I101" s="442"/>
      <c r="J101" s="442"/>
      <c r="K101" s="451"/>
      <c r="L101" s="451"/>
      <c r="M101" s="451"/>
      <c r="N101" s="451"/>
      <c r="O101" s="451"/>
      <c r="P101" s="451"/>
      <c r="Q101" s="451"/>
      <c r="R101" s="451"/>
      <c r="S101" s="451"/>
      <c r="T101" s="451"/>
      <c r="U101" s="451"/>
      <c r="V101" s="451"/>
      <c r="W101" s="451"/>
      <c r="X101" s="451"/>
      <c r="Y101" s="451"/>
      <c r="Z101" s="451"/>
      <c r="AA101" s="451"/>
      <c r="AB101" s="451"/>
      <c r="AC101" s="451"/>
      <c r="AD101" s="451"/>
      <c r="AE101" s="483"/>
      <c r="AF101" s="483"/>
      <c r="AG101" s="483"/>
      <c r="AH101" s="451"/>
      <c r="AI101" s="451"/>
      <c r="AJ101" s="451"/>
      <c r="AK101" s="451"/>
      <c r="AL101" s="451"/>
      <c r="AM101" s="451"/>
      <c r="AN101" s="451"/>
      <c r="AO101" s="451"/>
      <c r="AP101" s="483"/>
      <c r="AQ101" s="483"/>
      <c r="AR101" s="483"/>
      <c r="AS101" s="483"/>
      <c r="AT101" s="483"/>
      <c r="AU101" s="513"/>
    </row>
    <row r="102" spans="2:2">
      <c r="B102" s="444"/>
    </row>
    <row r="103" spans="2:2">
      <c r="B103" s="444"/>
    </row>
    <row r="104" spans="2:2">
      <c r="B104" s="444"/>
    </row>
    <row r="105" spans="2:2">
      <c r="B105" s="444"/>
    </row>
    <row r="106" spans="2:2">
      <c r="B106" s="444"/>
    </row>
    <row r="107" spans="2:2">
      <c r="B107" s="444"/>
    </row>
    <row r="108" spans="2:2">
      <c r="B108" s="444"/>
    </row>
    <row r="109" spans="2:2">
      <c r="B109" s="444"/>
    </row>
    <row r="110" spans="2:2">
      <c r="B110" s="444"/>
    </row>
    <row r="111" spans="2:2">
      <c r="B111" s="444"/>
    </row>
    <row r="112" spans="2:2">
      <c r="B112" s="444"/>
    </row>
    <row r="113" spans="2:2">
      <c r="B113" s="444"/>
    </row>
    <row r="114" spans="2:2">
      <c r="B114" s="444"/>
    </row>
    <row r="115" spans="2:2">
      <c r="B115" s="444"/>
    </row>
    <row r="116" spans="2:2">
      <c r="B116" s="444"/>
    </row>
    <row r="117" spans="2:2">
      <c r="B117" s="444"/>
    </row>
    <row r="118" spans="2:2">
      <c r="B118" s="444"/>
    </row>
    <row r="119" spans="2:2">
      <c r="B119" s="444"/>
    </row>
    <row r="120" spans="2:2">
      <c r="B120" s="444"/>
    </row>
    <row r="121" spans="2:2">
      <c r="B121" s="444"/>
    </row>
    <row r="122" spans="2:2">
      <c r="B122" s="444"/>
    </row>
    <row r="123" spans="2:2">
      <c r="B123" s="444"/>
    </row>
    <row r="124" spans="2:2">
      <c r="B124" s="444"/>
    </row>
    <row r="125" spans="2:2">
      <c r="B125" s="444"/>
    </row>
    <row r="126" spans="2:2">
      <c r="B126" s="444"/>
    </row>
    <row r="127" spans="2:2">
      <c r="B127" s="444"/>
    </row>
    <row r="128" spans="2:2">
      <c r="B128" s="444"/>
    </row>
    <row r="129" spans="2:2">
      <c r="B129" s="444"/>
    </row>
    <row r="130" spans="2:2">
      <c r="B130" s="444"/>
    </row>
    <row r="131" spans="2:2">
      <c r="B131" s="444"/>
    </row>
    <row r="132" spans="2:2">
      <c r="B132" s="444"/>
    </row>
    <row r="133" spans="2:2">
      <c r="B133" s="444"/>
    </row>
    <row r="134" spans="2:2">
      <c r="B134" s="444"/>
    </row>
    <row r="135" spans="2:2">
      <c r="B135" s="444"/>
    </row>
    <row r="136" spans="2:2">
      <c r="B136" s="444"/>
    </row>
    <row r="137" spans="2:2">
      <c r="B137" s="444"/>
    </row>
    <row r="138" spans="2:2">
      <c r="B138" s="444"/>
    </row>
    <row r="139" spans="2:2">
      <c r="B139" s="444"/>
    </row>
    <row r="140" spans="2:2">
      <c r="B140" s="444"/>
    </row>
    <row r="141" spans="2:2">
      <c r="B141" s="444"/>
    </row>
    <row r="142" spans="2:2">
      <c r="B142" s="444"/>
    </row>
    <row r="143" spans="2:2">
      <c r="B143" s="444"/>
    </row>
    <row r="144" spans="2:2">
      <c r="B144" s="444"/>
    </row>
    <row r="145" spans="2:2">
      <c r="B145" s="444"/>
    </row>
    <row r="146" spans="2:2">
      <c r="B146" s="444"/>
    </row>
    <row r="147" spans="2:2">
      <c r="B147" s="444"/>
    </row>
    <row r="148" spans="2:2">
      <c r="B148" s="444"/>
    </row>
    <row r="149" spans="2:2">
      <c r="B149" s="444"/>
    </row>
    <row r="150" spans="2:2">
      <c r="B150" s="444"/>
    </row>
    <row r="151" spans="2:2">
      <c r="B151" s="444"/>
    </row>
    <row r="152" spans="2:2">
      <c r="B152" s="444"/>
    </row>
    <row r="153" spans="2:2">
      <c r="B153" s="444"/>
    </row>
    <row r="154" spans="2:2">
      <c r="B154" s="444"/>
    </row>
    <row r="155" spans="2:2">
      <c r="B155" s="444"/>
    </row>
    <row r="156" spans="2:2">
      <c r="B156" s="444"/>
    </row>
    <row r="157" spans="2:2">
      <c r="B157" s="444"/>
    </row>
    <row r="158" spans="2:2">
      <c r="B158" s="444"/>
    </row>
    <row r="159" spans="2:2">
      <c r="B159" s="444"/>
    </row>
    <row r="160" spans="2:2">
      <c r="B160" s="444"/>
    </row>
    <row r="161" spans="2:2">
      <c r="B161" s="444"/>
    </row>
  </sheetData>
  <sheetProtection formatCells="0" formatColumns="0" formatRows="0" sort="0" autoFilter="0"/>
  <mergeCells count="1112">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11:AB13"/>
    <mergeCell ref="AB14:AB16"/>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B75:AB77"/>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D11:AD13"/>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F11:AF13"/>
    <mergeCell ref="AF14:AF16"/>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F75:AF77"/>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H11:AH13"/>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J11:AJ13"/>
    <mergeCell ref="AJ14:AJ16"/>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J75:AJ77"/>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L11:AL13"/>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 ref="AT55:AT57"/>
    <mergeCell ref="AT58:AT60"/>
    <mergeCell ref="AT63:AT65"/>
    <mergeCell ref="AT66:AT68"/>
    <mergeCell ref="AT75:AT77"/>
    <mergeCell ref="AT78:AT80"/>
    <mergeCell ref="AT81:AT83"/>
    <mergeCell ref="AT84:AT86"/>
    <mergeCell ref="AT87:AT89"/>
    <mergeCell ref="AT90:AT92"/>
    <mergeCell ref="AT93:AT95"/>
    <mergeCell ref="AU77:AU98"/>
    <mergeCell ref="AA8:AG9"/>
    <mergeCell ref="AH8:AN9"/>
    <mergeCell ref="S6:AP7"/>
    <mergeCell ref="C5:D7"/>
    <mergeCell ref="AQ5:AR7"/>
    <mergeCell ref="E5:I7"/>
    <mergeCell ref="J5:M7"/>
    <mergeCell ref="N5:R7"/>
  </mergeCells>
  <conditionalFormatting sqref="AD46">
    <cfRule type="cellIs" dxfId="0" priority="76" operator="lessThan">
      <formula>1</formula>
    </cfRule>
    <cfRule type="cellIs" dxfId="0" priority="77" operator="greaterThan">
      <formula>1</formula>
    </cfRule>
  </conditionalFormatting>
  <conditionalFormatting sqref="AD49">
    <cfRule type="cellIs" dxfId="0" priority="19" operator="greaterThan">
      <formula>1</formula>
    </cfRule>
    <cfRule type="cellIs" dxfId="0" priority="18" operator="lessThan">
      <formula>1</formula>
    </cfRule>
  </conditionalFormatting>
  <conditionalFormatting sqref="AQ49">
    <cfRule type="cellIs" dxfId="0" priority="17" operator="lessThan">
      <formula>65</formula>
    </cfRule>
    <cfRule type="cellIs" dxfId="1" priority="15" operator="equal">
      <formula>55</formula>
    </cfRule>
    <cfRule type="cellIs" dxfId="0" priority="16" operator="lessThan">
      <formula>55</formula>
    </cfRule>
  </conditionalFormatting>
  <conditionalFormatting sqref="AA58:AE58">
    <cfRule type="cellIs" dxfId="2" priority="63" operator="lessThan">
      <formula>10</formula>
    </cfRule>
  </conditionalFormatting>
  <conditionalFormatting sqref="Y62:AG62">
    <cfRule type="cellIs" dxfId="0" priority="44" operator="greaterThan">
      <formula>1</formula>
    </cfRule>
    <cfRule type="cellIs" dxfId="0" priority="43" operator="lessThan">
      <formula>1</formula>
    </cfRule>
  </conditionalFormatting>
  <conditionalFormatting sqref="AE62">
    <cfRule type="cellIs" dxfId="3" priority="14" operator="greaterThan">
      <formula>1</formula>
    </cfRule>
  </conditionalFormatting>
  <conditionalFormatting sqref="AQ81">
    <cfRule type="cellIs" dxfId="0" priority="31" operator="lessThan">
      <formula>65</formula>
    </cfRule>
    <cfRule type="cellIs" dxfId="0" priority="30" operator="lessThan">
      <formula>55</formula>
    </cfRule>
    <cfRule type="cellIs" dxfId="1" priority="29" operator="equal">
      <formula>55</formula>
    </cfRule>
  </conditionalFormatting>
  <conditionalFormatting sqref="AQ90">
    <cfRule type="cellIs" dxfId="0" priority="25" operator="lessThan">
      <formula>65</formula>
    </cfRule>
    <cfRule type="cellIs" dxfId="0" priority="24" operator="lessThan">
      <formula>55</formula>
    </cfRule>
    <cfRule type="cellIs" dxfId="1" priority="23" operator="equal">
      <formula>55</formula>
    </cfRule>
  </conditionalFormatting>
  <conditionalFormatting sqref="AQ93">
    <cfRule type="cellIs" dxfId="0" priority="22" operator="lessThan">
      <formula>65</formula>
    </cfRule>
    <cfRule type="cellIs" dxfId="0" priority="21" operator="lessThan">
      <formula>55</formula>
    </cfRule>
    <cfRule type="cellIs" dxfId="1" priority="20" operator="equal">
      <formula>55</formula>
    </cfRule>
  </conditionalFormatting>
  <conditionalFormatting sqref="AS97">
    <cfRule type="cellIs" dxfId="4" priority="35" operator="between">
      <formula>0.6</formula>
      <formula>0.79</formula>
    </cfRule>
    <cfRule type="cellIs" dxfId="2" priority="34" operator="between">
      <formula>0</formula>
      <formula>59</formula>
    </cfRule>
    <cfRule type="cellIs" dxfId="2" priority="33" operator="between">
      <formula>0</formula>
      <formula>0.59</formula>
    </cfRule>
    <cfRule type="cellIs" dxfId="3" priority="32" operator="between">
      <formula>80</formula>
      <formula>1</formula>
    </cfRule>
    <cfRule type="cellIs" dxfId="3" priority="36" operator="between">
      <formula>0.8</formula>
      <formula>1</formula>
    </cfRule>
  </conditionalFormatting>
  <conditionalFormatting sqref="AF63:AF68">
    <cfRule type="cellIs" dxfId="3" priority="13" operator="equal">
      <formula>1</formula>
    </cfRule>
  </conditionalFormatting>
  <conditionalFormatting sqref="AO62:AO68">
    <cfRule type="cellIs" dxfId="3" priority="37" operator="greaterThan">
      <formula>39</formula>
    </cfRule>
  </conditionalFormatting>
  <conditionalFormatting sqref="AO75:AO95">
    <cfRule type="cellIs" dxfId="3" priority="39" operator="equal">
      <formula>40</formula>
    </cfRule>
  </conditionalFormatting>
  <conditionalFormatting sqref="AQ69:AQ73">
    <cfRule type="cellIs" dxfId="1" priority="48" operator="equal">
      <formula>55</formula>
    </cfRule>
    <cfRule type="cellIs" dxfId="0" priority="49" operator="lessThan">
      <formula>55</formula>
    </cfRule>
    <cfRule type="cellIs" dxfId="0" priority="50" operator="lessThan">
      <formula>65</formula>
    </cfRule>
  </conditionalFormatting>
  <conditionalFormatting sqref="AQ75:AQ95">
    <cfRule type="cellIs" dxfId="3" priority="38" operator="greaterThan">
      <formula>29</formula>
    </cfRule>
  </conditionalFormatting>
  <conditionalFormatting sqref="H11:H60 H75:H95">
    <cfRule type="cellIs" dxfId="2" priority="75" operator="lessThan">
      <formula>6</formula>
    </cfRule>
    <cfRule type="cellIs" dxfId="3" priority="74" operator="equal">
      <formula>6</formula>
    </cfRule>
    <cfRule type="cellIs" dxfId="5" priority="73" operator="equal">
      <formula>0</formula>
    </cfRule>
  </conditionalFormatting>
  <conditionalFormatting sqref="AA11:AG11 AA12:AF13 AF14:AG14 AA14:AE16 AF15:AF16 AA17:AG17 AA18:AF19 AA25:AF26 AA27:AG27 AA28:AF30 AA33:AG33 AA34:AF35 AB36:AG36 AA36:AA38 AB37:AF38 AA39:AG39 AA40:AF41 AA42:AG42 AA43:AF44 AA45:AG46 AA47:AF48 AA49:AG49 AA50:AF51 AA52:AD57 AA59:AF60 AA75:AD87 AE87:AG87 AA88:AC89 AA90:AD95 AF56:AF57 AF53:AF54 AF55:AG55 AF52:AG52">
    <cfRule type="cellIs" dxfId="3" priority="67" operator="equal">
      <formula>1</formula>
    </cfRule>
  </conditionalFormatting>
  <conditionalFormatting sqref="AD11:AE16">
    <cfRule type="cellIs" dxfId="0" priority="41" operator="lessThan">
      <formula>1</formula>
    </cfRule>
    <cfRule type="cellIs" dxfId="0" priority="42" operator="greaterThan">
      <formula>1</formula>
    </cfRule>
  </conditionalFormatting>
  <conditionalFormatting sqref="AO11:AO30 AO33:AO44 AO46:AO60">
    <cfRule type="cellIs" dxfId="0" priority="66" operator="lessThan">
      <formula>30</formula>
    </cfRule>
  </conditionalFormatting>
  <conditionalFormatting sqref="AQ11:AQ60 AO11:AO30 AO33:AO60 AQ62:AQ73">
    <cfRule type="cellIs" dxfId="3" priority="40" operator="greaterThan">
      <formula>29</formula>
    </cfRule>
  </conditionalFormatting>
  <conditionalFormatting sqref="AQ11:AQ46 AQ52 AQ55 AQ58">
    <cfRule type="cellIs" dxfId="0" priority="56" operator="lessThan">
      <formula>65</formula>
    </cfRule>
    <cfRule type="cellIs" dxfId="0" priority="55" operator="lessThan">
      <formula>55</formula>
    </cfRule>
    <cfRule type="cellIs" dxfId="1" priority="54" operator="equal">
      <formula>55</formula>
    </cfRule>
  </conditionalFormatting>
  <conditionalFormatting sqref="AD17 Y45:AD45">
    <cfRule type="cellIs" dxfId="0" priority="71" operator="lessThan">
      <formula>1</formula>
    </cfRule>
    <cfRule type="cellIs" dxfId="0" priority="72" operator="greaterThan">
      <formula>1</formula>
    </cfRule>
  </conditionalFormatting>
  <conditionalFormatting sqref="AA20:AG24">
    <cfRule type="cellIs" dxfId="3" priority="3" operator="equal">
      <formula>1</formula>
    </cfRule>
  </conditionalFormatting>
  <conditionalFormatting sqref="AD20:AE23">
    <cfRule type="cellIs" dxfId="0" priority="2" operator="greaterThan">
      <formula>1</formula>
    </cfRule>
    <cfRule type="cellIs" dxfId="0" priority="1" operator="lessThan">
      <formula>1</formula>
    </cfRule>
  </conditionalFormatting>
  <conditionalFormatting sqref="AD24:AD30 AD33:AD44">
    <cfRule type="cellIs" dxfId="0" priority="79" operator="greaterThan">
      <formula>1</formula>
    </cfRule>
    <cfRule type="cellIs" dxfId="0" priority="78" operator="lessThan">
      <formula>1</formula>
    </cfRule>
  </conditionalFormatting>
  <conditionalFormatting sqref="AA46:AC46 AA52:AD52 AA55:AD55">
    <cfRule type="cellIs" dxfId="2" priority="70" operator="lessThan">
      <formula>10</formula>
    </cfRule>
  </conditionalFormatting>
  <conditionalFormatting sqref="AO52:AO60 AO75:AO95">
    <cfRule type="cellIs" dxfId="0" priority="65" operator="lessThan">
      <formula>40</formula>
    </cfRule>
  </conditionalFormatting>
  <conditionalFormatting sqref="AE58:AE60 AA58:AD58 AF58:AG58 AA62:AE62 AA63:AB73 AD63:AE73">
    <cfRule type="cellIs" dxfId="3" priority="12" operator="equal">
      <formula>1</formula>
    </cfRule>
  </conditionalFormatting>
  <conditionalFormatting sqref="AH62:AL62 AH63:AI63 AK63:AM63">
    <cfRule type="cellIs" dxfId="2" priority="59" operator="lessThan">
      <formula>10</formula>
    </cfRule>
  </conditionalFormatting>
  <conditionalFormatting sqref="AO62:AO63 AO66 AO69:AO73">
    <cfRule type="cellIs" dxfId="0" priority="64" operator="lessThan">
      <formula>40</formula>
    </cfRule>
  </conditionalFormatting>
  <conditionalFormatting sqref="AQ62:AQ63 AQ66">
    <cfRule type="cellIs" dxfId="0" priority="53" operator="lessThan">
      <formula>65</formula>
    </cfRule>
    <cfRule type="cellIs" dxfId="0" priority="52" operator="lessThan">
      <formula>55</formula>
    </cfRule>
    <cfRule type="cellIs" dxfId="1" priority="51" operator="equal">
      <formula>55</formula>
    </cfRule>
  </conditionalFormatting>
  <conditionalFormatting sqref="AA63:AB63 AD63">
    <cfRule type="cellIs" dxfId="2" priority="69" operator="lessThan">
      <formula>10</formula>
    </cfRule>
  </conditionalFormatting>
  <conditionalFormatting sqref="AA66:AB66 AD66:AE66 AH66:AI66 AK66:AM66 AH69:AI73 AK69:AL73">
    <cfRule type="cellIs" dxfId="3" priority="57" operator="equal">
      <formula>10</formula>
    </cfRule>
  </conditionalFormatting>
  <conditionalFormatting sqref="AA66:AB66 AD66:AE66">
    <cfRule type="cellIs" dxfId="2" priority="68" operator="lessThan">
      <formula>10</formula>
    </cfRule>
  </conditionalFormatting>
  <conditionalFormatting sqref="AH66:AI66 AK66:AM66 AH69:AI73 AK69:AL73">
    <cfRule type="cellIs" dxfId="2" priority="58" operator="lessThan">
      <formula>10</formula>
    </cfRule>
  </conditionalFormatting>
  <conditionalFormatting sqref="AA69:AB73 AD69:AG73">
    <cfRule type="cellIs" dxfId="0" priority="61" operator="greaterThan">
      <formula>1</formula>
    </cfRule>
    <cfRule type="cellIs" dxfId="0" priority="60" operator="lessThan">
      <formula>1</formula>
    </cfRule>
  </conditionalFormatting>
  <conditionalFormatting sqref="AQ75 AQ78">
    <cfRule type="cellIs" dxfId="1" priority="45" operator="equal">
      <formula>55</formula>
    </cfRule>
    <cfRule type="cellIs" dxfId="0" priority="46" operator="lessThan">
      <formula>55</formula>
    </cfRule>
    <cfRule type="cellIs" dxfId="0" priority="47" operator="lessThan">
      <formula>65</formula>
    </cfRule>
  </conditionalFormatting>
  <conditionalFormatting sqref="AQ84 AQ87">
    <cfRule type="cellIs" dxfId="0" priority="28" operator="lessThan">
      <formula>65</formula>
    </cfRule>
    <cfRule type="cellIs" dxfId="0" priority="27" operator="lessThan">
      <formula>55</formula>
    </cfRule>
    <cfRule type="cellIs" dxfId="1" priority="26" operator="equal">
      <formula>55</formula>
    </cfRule>
  </conditionalFormatting>
  <dataValidations count="10">
    <dataValidation type="list" showInputMessage="1" showErrorMessage="1" sqref="E4:I4">
      <formula1>"Cross River"</formula1>
    </dataValidation>
    <dataValidation type="list" showInputMessage="1" showErrorMessage="1" errorTitle="Invalid" error="Select from the drop-down list" prompt="Select from the drop-down list" sqref="N4:R4">
      <formula1>"Abi, Akamkpa, Akpabuyo, Bakassi, Biase, Boki, Calabar Municipal, Calabar south, Ikom, Obanliku, Obubra, Obudu, Odukpani, Ogoja, Yakurr, Yala"</formula1>
    </dataValidation>
    <dataValidation type="list" allowBlank="1" showInputMessage="1" showErrorMessage="1" sqref="V4:Z4">
      <formula1>Sheet1!$A$1:$A$64</formula1>
    </dataValidation>
    <dataValidation type="list" showInputMessage="1" showErrorMessage="1" errorTitle="Invalid" error="Select from the drop-down list" prompt="Select DQA date of commencement from the drop-down list" sqref="AE4:AI4">
      <formula1>"12/1/2026,13/1/2026,14/1/2026,15/1/2026,16/1/2026,"</formula1>
    </dataValidation>
    <dataValidation type="list" allowBlank="1" showInputMessage="1" showErrorMessage="1" sqref="AP4:AT4">
      <formula1>"FY26 Q1, FY26 Q2, FY26 Q3, FY26 Q4"</formula1>
    </dataValidation>
    <dataValidation type="decimal" operator="lessThanOrEqual" allowBlank="1" showInputMessage="1" showErrorMessage="1" sqref="AD17 Z45:AC45 AE45:AG45 AD49 AA62:AD62 AD20:AD30 AD33:AD46 AA69:AD73" errorStyle="warning">
      <formula1>1.05</formula1>
    </dataValidation>
    <dataValidation type="whole" operator="lessThanOrEqual" allowBlank="1" showInputMessage="1" showErrorMessage="1" sqref="AS24:AT24 AS27:AT27 AS36:AT36 AS39:AT39 AS42:AT42 AS52:AT52 J62:K68 J75:K95 J11:K60">
      <formula1>2</formula1>
    </dataValidation>
    <dataValidation type="decimal" operator="between" showInputMessage="1" showErrorMessage="1" sqref="AD11:AE16" errorStyle="warning">
      <formula1>0.1</formula1>
      <formula2>1.05</formula2>
    </dataValidation>
    <dataValidation type="whole" operator="lessThanOrEqual" showInputMessage="1" showErrorMessage="1" sqref="E62:G73 E11:G60 E75:G87 E90:G97 J69:K73">
      <formula1>2</formula1>
    </dataValidation>
    <dataValidation type="whole" operator="lessThanOrEqual" allowBlank="1" showInputMessage="1" showErrorMessage="1" sqref="N62:P73 N11:P60 N75:P95">
      <formula1>5</formula1>
    </dataValidation>
  </dataValidations>
  <pageMargins left="0.7" right="0.7" top="0.75" bottom="0.75" header="0.3" footer="0.3"/>
  <pageSetup paperSize="1" orientation="portrait"/>
  <headerFooter/>
  <ignoredErrors>
    <ignoredError sqref="B1:AT77" unlocked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
  <sheetViews>
    <sheetView zoomScale="56" zoomScaleNormal="56" workbookViewId="0">
      <pane xSplit="2" ySplit="4" topLeftCell="C62" activePane="bottomRight" state="frozen"/>
      <selection/>
      <selection pane="topRight"/>
      <selection pane="bottomLeft"/>
      <selection pane="bottomRight" activeCell="D91" sqref="D91"/>
    </sheetView>
  </sheetViews>
  <sheetFormatPr defaultColWidth="13.2666666666667" defaultRowHeight="18"/>
  <cols>
    <col min="1" max="1" width="64.6" style="43" customWidth="1"/>
    <col min="2" max="2" width="29.7333333333333" style="41" customWidth="1"/>
    <col min="3" max="12" width="13.2666666666667" style="44"/>
    <col min="13" max="17" width="13.2666666666667" style="45"/>
    <col min="18" max="18" width="17.0666666666667" style="45" customWidth="1"/>
    <col min="19" max="19" width="39.4666666666667" style="45" customWidth="1"/>
    <col min="20" max="20" width="31.4666666666667" style="45" customWidth="1"/>
    <col min="21" max="16384" width="13.2666666666667" style="45"/>
  </cols>
  <sheetData>
    <row r="1" s="40" customFormat="1" ht="43.5" customHeight="1" spans="1:20">
      <c r="A1" s="46" t="s">
        <v>120</v>
      </c>
      <c r="B1" s="47"/>
      <c r="C1" s="47"/>
      <c r="D1" s="47"/>
      <c r="E1" s="47"/>
      <c r="F1" s="47"/>
      <c r="G1" s="47"/>
      <c r="H1" s="47"/>
      <c r="I1" s="47"/>
      <c r="J1" s="47"/>
      <c r="K1" s="47"/>
      <c r="L1" s="47"/>
      <c r="M1" s="47"/>
      <c r="N1" s="47"/>
      <c r="O1" s="47"/>
      <c r="P1" s="47"/>
      <c r="Q1" s="47"/>
      <c r="R1" s="47"/>
      <c r="S1" s="47"/>
      <c r="T1" s="91"/>
    </row>
    <row r="2" s="41" customFormat="1" spans="1:20">
      <c r="A2" s="48" t="s">
        <v>121</v>
      </c>
      <c r="B2" s="49"/>
      <c r="C2" s="50"/>
      <c r="D2" s="50"/>
      <c r="E2" s="50"/>
      <c r="F2" s="50"/>
      <c r="G2" s="51"/>
      <c r="H2" s="51"/>
      <c r="I2" s="51"/>
      <c r="J2" s="51"/>
      <c r="K2" s="51"/>
      <c r="L2" s="51"/>
      <c r="M2" s="65"/>
      <c r="N2" s="65"/>
      <c r="O2" s="65"/>
      <c r="P2" s="65"/>
      <c r="Q2" s="65"/>
      <c r="R2" s="65"/>
      <c r="S2" s="65"/>
      <c r="T2" s="92"/>
    </row>
    <row r="3" s="41" customFormat="1" spans="1:20">
      <c r="A3" s="48" t="s">
        <v>122</v>
      </c>
      <c r="B3" s="49"/>
      <c r="C3" s="50"/>
      <c r="D3" s="50"/>
      <c r="E3" s="50"/>
      <c r="F3" s="50"/>
      <c r="G3" s="51"/>
      <c r="H3" s="51"/>
      <c r="I3" s="51"/>
      <c r="J3" s="51"/>
      <c r="K3" s="51"/>
      <c r="L3" s="51"/>
      <c r="M3" s="65"/>
      <c r="N3" s="65"/>
      <c r="O3" s="65"/>
      <c r="P3" s="65"/>
      <c r="Q3" s="65"/>
      <c r="R3" s="65"/>
      <c r="S3" s="65"/>
      <c r="T3" s="92"/>
    </row>
    <row r="4" s="42" customFormat="1" ht="66" customHeight="1" spans="1:20">
      <c r="A4" s="52" t="s">
        <v>123</v>
      </c>
      <c r="B4" s="53" t="s">
        <v>124</v>
      </c>
      <c r="C4" s="54" t="s">
        <v>125</v>
      </c>
      <c r="D4" s="54" t="s">
        <v>126</v>
      </c>
      <c r="E4" s="54" t="s">
        <v>127</v>
      </c>
      <c r="F4" s="54" t="s">
        <v>128</v>
      </c>
      <c r="G4" s="55" t="s">
        <v>129</v>
      </c>
      <c r="H4" s="54" t="s">
        <v>130</v>
      </c>
      <c r="I4" s="83" t="s">
        <v>131</v>
      </c>
      <c r="J4" s="83" t="s">
        <v>132</v>
      </c>
      <c r="K4" s="84" t="s">
        <v>133</v>
      </c>
      <c r="L4" s="84" t="s">
        <v>134</v>
      </c>
      <c r="M4" s="54" t="s">
        <v>135</v>
      </c>
      <c r="N4" s="54" t="s">
        <v>136</v>
      </c>
      <c r="O4" s="54" t="s">
        <v>137</v>
      </c>
      <c r="P4" s="54" t="s">
        <v>138</v>
      </c>
      <c r="Q4" s="54" t="s">
        <v>139</v>
      </c>
      <c r="R4" s="54" t="s">
        <v>140</v>
      </c>
      <c r="S4" s="93" t="s">
        <v>141</v>
      </c>
      <c r="T4" s="94" t="s">
        <v>142</v>
      </c>
    </row>
    <row r="5" ht="30" customHeight="1" spans="1:20">
      <c r="A5" s="56" t="s">
        <v>143</v>
      </c>
      <c r="B5" s="57" t="s">
        <v>144</v>
      </c>
      <c r="C5" s="58">
        <v>285</v>
      </c>
      <c r="D5" s="58">
        <v>285</v>
      </c>
      <c r="E5" s="58">
        <v>285</v>
      </c>
      <c r="F5" s="58">
        <v>285</v>
      </c>
      <c r="G5" s="58">
        <v>285</v>
      </c>
      <c r="H5" s="58">
        <v>285</v>
      </c>
      <c r="I5" s="58"/>
      <c r="J5" s="58"/>
      <c r="K5" s="85"/>
      <c r="L5" s="86"/>
      <c r="M5" s="81"/>
      <c r="N5" s="65"/>
      <c r="O5" s="81"/>
      <c r="P5" s="81"/>
      <c r="Q5" s="81"/>
      <c r="R5" s="81"/>
      <c r="S5" s="81"/>
      <c r="T5" s="95"/>
    </row>
    <row r="6" ht="30" customHeight="1" spans="1:20">
      <c r="A6" s="59"/>
      <c r="B6" s="60" t="s">
        <v>145</v>
      </c>
      <c r="C6" s="58">
        <v>199</v>
      </c>
      <c r="D6" s="58">
        <v>199</v>
      </c>
      <c r="E6" s="58">
        <v>199</v>
      </c>
      <c r="F6" s="58">
        <v>199</v>
      </c>
      <c r="G6" s="58">
        <v>199</v>
      </c>
      <c r="H6" s="58">
        <v>199</v>
      </c>
      <c r="I6" s="87"/>
      <c r="J6" s="87"/>
      <c r="K6" s="85"/>
      <c r="L6" s="76"/>
      <c r="M6" s="65"/>
      <c r="N6" s="65"/>
      <c r="O6" s="65"/>
      <c r="P6" s="65"/>
      <c r="Q6" s="65"/>
      <c r="R6" s="65"/>
      <c r="S6" s="65"/>
      <c r="T6" s="92"/>
    </row>
    <row r="7" ht="30" customHeight="1" spans="1:20">
      <c r="A7" s="61"/>
      <c r="B7" s="62" t="s">
        <v>146</v>
      </c>
      <c r="C7" s="58">
        <v>101</v>
      </c>
      <c r="D7" s="58">
        <v>101</v>
      </c>
      <c r="E7" s="58">
        <v>100</v>
      </c>
      <c r="F7" s="58">
        <v>100</v>
      </c>
      <c r="G7" s="58">
        <v>100</v>
      </c>
      <c r="H7" s="58">
        <v>100</v>
      </c>
      <c r="I7" s="87"/>
      <c r="J7" s="87"/>
      <c r="K7" s="85"/>
      <c r="L7" s="77"/>
      <c r="M7" s="66"/>
      <c r="N7" s="65"/>
      <c r="O7" s="66"/>
      <c r="P7" s="66"/>
      <c r="Q7" s="66"/>
      <c r="R7" s="66"/>
      <c r="S7" s="66"/>
      <c r="T7" s="96"/>
    </row>
    <row r="8" ht="30" customHeight="1" spans="1:20">
      <c r="A8" s="59" t="s">
        <v>147</v>
      </c>
      <c r="B8" s="63" t="s">
        <v>144</v>
      </c>
      <c r="C8" s="64">
        <v>1</v>
      </c>
      <c r="D8" s="64">
        <v>1</v>
      </c>
      <c r="E8" s="64">
        <v>1</v>
      </c>
      <c r="F8" s="64">
        <v>1</v>
      </c>
      <c r="G8" s="64">
        <v>1</v>
      </c>
      <c r="H8" s="64">
        <v>1</v>
      </c>
      <c r="I8" s="87"/>
      <c r="J8" s="87"/>
      <c r="K8" s="85"/>
      <c r="L8" s="75"/>
      <c r="M8" s="64"/>
      <c r="N8" s="65"/>
      <c r="O8" s="64"/>
      <c r="P8" s="64"/>
      <c r="Q8" s="64"/>
      <c r="R8" s="64"/>
      <c r="S8" s="64"/>
      <c r="T8" s="97"/>
    </row>
    <row r="9" ht="30" customHeight="1" spans="1:20">
      <c r="A9" s="59"/>
      <c r="B9" s="60" t="s">
        <v>145</v>
      </c>
      <c r="C9" s="65">
        <v>5</v>
      </c>
      <c r="D9" s="65">
        <v>5</v>
      </c>
      <c r="E9" s="65">
        <v>5</v>
      </c>
      <c r="F9" s="65">
        <v>5</v>
      </c>
      <c r="G9" s="65">
        <v>5</v>
      </c>
      <c r="H9" s="65">
        <v>5</v>
      </c>
      <c r="I9" s="87"/>
      <c r="J9" s="87"/>
      <c r="K9" s="85"/>
      <c r="L9" s="76"/>
      <c r="M9" s="65"/>
      <c r="N9" s="65"/>
      <c r="O9" s="65"/>
      <c r="P9" s="65"/>
      <c r="Q9" s="65"/>
      <c r="R9" s="65"/>
      <c r="S9" s="65"/>
      <c r="T9" s="92"/>
    </row>
    <row r="10" ht="30" customHeight="1" spans="1:20">
      <c r="A10" s="61"/>
      <c r="B10" s="62" t="s">
        <v>146</v>
      </c>
      <c r="C10" s="66">
        <v>3</v>
      </c>
      <c r="D10" s="66">
        <v>3</v>
      </c>
      <c r="E10" s="66">
        <v>3</v>
      </c>
      <c r="F10" s="67">
        <v>2</v>
      </c>
      <c r="G10" s="67">
        <v>2</v>
      </c>
      <c r="H10" s="68">
        <v>2</v>
      </c>
      <c r="I10" s="87"/>
      <c r="J10" s="87"/>
      <c r="K10" s="85"/>
      <c r="L10" s="77"/>
      <c r="M10" s="66"/>
      <c r="N10" s="65"/>
      <c r="O10" s="66"/>
      <c r="P10" s="66"/>
      <c r="Q10" s="66"/>
      <c r="R10" s="66"/>
      <c r="S10" s="98"/>
      <c r="T10" s="99"/>
    </row>
    <row r="11" ht="30" customHeight="1" spans="1:20">
      <c r="A11" s="59" t="s">
        <v>55</v>
      </c>
      <c r="B11" s="63" t="s">
        <v>144</v>
      </c>
      <c r="C11" s="64">
        <v>94</v>
      </c>
      <c r="D11" s="64">
        <v>94</v>
      </c>
      <c r="E11" s="64">
        <v>94</v>
      </c>
      <c r="F11" s="69"/>
      <c r="G11" s="64">
        <v>94</v>
      </c>
      <c r="H11" s="64">
        <v>94</v>
      </c>
      <c r="I11" s="85"/>
      <c r="J11" s="85"/>
      <c r="K11" s="85"/>
      <c r="L11" s="75"/>
      <c r="M11" s="64"/>
      <c r="N11" s="65"/>
      <c r="O11" s="64"/>
      <c r="P11" s="64"/>
      <c r="Q11" s="64"/>
      <c r="R11" s="64"/>
      <c r="S11" s="100"/>
      <c r="T11" s="101"/>
    </row>
    <row r="12" ht="30" customHeight="1" spans="1:20">
      <c r="A12" s="59"/>
      <c r="B12" s="60" t="s">
        <v>145</v>
      </c>
      <c r="C12" s="65">
        <v>48</v>
      </c>
      <c r="D12" s="65">
        <v>48</v>
      </c>
      <c r="E12" s="65">
        <v>48</v>
      </c>
      <c r="F12" s="70"/>
      <c r="G12" s="65">
        <v>48</v>
      </c>
      <c r="H12" s="65">
        <v>48</v>
      </c>
      <c r="I12" s="85"/>
      <c r="J12" s="85"/>
      <c r="K12" s="85"/>
      <c r="L12" s="76"/>
      <c r="M12" s="65"/>
      <c r="N12" s="65"/>
      <c r="O12" s="65"/>
      <c r="P12" s="65"/>
      <c r="Q12" s="65"/>
      <c r="R12" s="65"/>
      <c r="S12" s="102"/>
      <c r="T12" s="103"/>
    </row>
    <row r="13" ht="30" customHeight="1" spans="1:20">
      <c r="A13" s="61"/>
      <c r="B13" s="62" t="s">
        <v>146</v>
      </c>
      <c r="C13" s="66">
        <v>0</v>
      </c>
      <c r="D13" s="66">
        <v>0</v>
      </c>
      <c r="E13" s="66">
        <v>0</v>
      </c>
      <c r="F13" s="71"/>
      <c r="G13" s="66">
        <v>0</v>
      </c>
      <c r="H13" s="66">
        <v>0</v>
      </c>
      <c r="I13" s="85"/>
      <c r="J13" s="85"/>
      <c r="K13" s="85"/>
      <c r="L13" s="77"/>
      <c r="M13" s="66"/>
      <c r="N13" s="65"/>
      <c r="O13" s="66"/>
      <c r="P13" s="66"/>
      <c r="Q13" s="66"/>
      <c r="R13" s="66"/>
      <c r="S13" s="98"/>
      <c r="T13" s="99"/>
    </row>
    <row r="14" ht="30" customHeight="1" spans="1:20">
      <c r="A14" s="72" t="s">
        <v>148</v>
      </c>
      <c r="B14" s="63" t="s">
        <v>144</v>
      </c>
      <c r="C14" s="64">
        <v>0</v>
      </c>
      <c r="D14" s="64">
        <v>0</v>
      </c>
      <c r="E14" s="69"/>
      <c r="F14" s="69"/>
      <c r="G14" s="64">
        <v>0</v>
      </c>
      <c r="H14" s="64">
        <v>0</v>
      </c>
      <c r="I14" s="85"/>
      <c r="J14" s="85"/>
      <c r="K14" s="85"/>
      <c r="L14" s="75"/>
      <c r="M14" s="64"/>
      <c r="N14" s="65"/>
      <c r="O14" s="64"/>
      <c r="P14" s="64"/>
      <c r="Q14" s="64"/>
      <c r="R14" s="64"/>
      <c r="S14" s="100"/>
      <c r="T14" s="101"/>
    </row>
    <row r="15" ht="30" customHeight="1" spans="1:20">
      <c r="A15" s="73"/>
      <c r="B15" s="60" t="s">
        <v>145</v>
      </c>
      <c r="C15" s="65">
        <v>4</v>
      </c>
      <c r="D15" s="65">
        <v>4</v>
      </c>
      <c r="E15" s="70"/>
      <c r="F15" s="70"/>
      <c r="G15" s="65">
        <v>4</v>
      </c>
      <c r="H15" s="65">
        <v>4</v>
      </c>
      <c r="I15" s="85"/>
      <c r="J15" s="85"/>
      <c r="K15" s="85"/>
      <c r="L15" s="76"/>
      <c r="M15" s="65"/>
      <c r="N15" s="65"/>
      <c r="O15" s="65"/>
      <c r="P15" s="65"/>
      <c r="Q15" s="65"/>
      <c r="R15" s="65"/>
      <c r="S15" s="102"/>
      <c r="T15" s="103"/>
    </row>
    <row r="16" ht="30" customHeight="1" spans="1:20">
      <c r="A16" s="74"/>
      <c r="B16" s="62" t="s">
        <v>146</v>
      </c>
      <c r="C16" s="66">
        <v>2</v>
      </c>
      <c r="D16" s="66">
        <v>2</v>
      </c>
      <c r="E16" s="71"/>
      <c r="F16" s="71"/>
      <c r="G16" s="66">
        <v>2</v>
      </c>
      <c r="H16" s="66">
        <v>2</v>
      </c>
      <c r="I16" s="85"/>
      <c r="J16" s="85"/>
      <c r="K16" s="85"/>
      <c r="L16" s="77"/>
      <c r="M16" s="66"/>
      <c r="N16" s="65"/>
      <c r="O16" s="66"/>
      <c r="P16" s="66"/>
      <c r="Q16" s="66"/>
      <c r="R16" s="66"/>
      <c r="S16" s="98"/>
      <c r="T16" s="99"/>
    </row>
    <row r="17" ht="30" customHeight="1" spans="1:20">
      <c r="A17" s="72" t="s">
        <v>149</v>
      </c>
      <c r="B17" s="63" t="s">
        <v>144</v>
      </c>
      <c r="C17" s="64">
        <v>0</v>
      </c>
      <c r="D17" s="64">
        <v>0</v>
      </c>
      <c r="E17" s="69"/>
      <c r="F17" s="69"/>
      <c r="G17" s="64">
        <v>0</v>
      </c>
      <c r="H17" s="64">
        <v>0</v>
      </c>
      <c r="I17" s="85"/>
      <c r="J17" s="85"/>
      <c r="K17" s="85"/>
      <c r="L17" s="75"/>
      <c r="M17" s="64"/>
      <c r="N17" s="65"/>
      <c r="O17" s="64"/>
      <c r="P17" s="64"/>
      <c r="Q17" s="64"/>
      <c r="R17" s="64"/>
      <c r="S17" s="100"/>
      <c r="T17" s="101"/>
    </row>
    <row r="18" ht="30" customHeight="1" spans="1:20">
      <c r="A18" s="73"/>
      <c r="B18" s="60" t="s">
        <v>145</v>
      </c>
      <c r="C18" s="65">
        <v>0</v>
      </c>
      <c r="D18" s="65">
        <v>0</v>
      </c>
      <c r="E18" s="70"/>
      <c r="F18" s="70"/>
      <c r="G18" s="65">
        <v>0</v>
      </c>
      <c r="H18" s="65">
        <v>0</v>
      </c>
      <c r="I18" s="85"/>
      <c r="J18" s="85"/>
      <c r="K18" s="85"/>
      <c r="L18" s="76"/>
      <c r="M18" s="65"/>
      <c r="N18" s="65"/>
      <c r="O18" s="65"/>
      <c r="P18" s="65"/>
      <c r="Q18" s="65"/>
      <c r="R18" s="65"/>
      <c r="S18" s="102"/>
      <c r="T18" s="103"/>
    </row>
    <row r="19" ht="30" customHeight="1" spans="1:20">
      <c r="A19" s="74"/>
      <c r="B19" s="62" t="s">
        <v>146</v>
      </c>
      <c r="C19" s="66">
        <v>0</v>
      </c>
      <c r="D19" s="66">
        <v>0</v>
      </c>
      <c r="E19" s="71"/>
      <c r="F19" s="71"/>
      <c r="G19" s="66">
        <v>0</v>
      </c>
      <c r="H19" s="66">
        <v>0</v>
      </c>
      <c r="I19" s="85"/>
      <c r="J19" s="85"/>
      <c r="K19" s="85"/>
      <c r="L19" s="77"/>
      <c r="M19" s="66"/>
      <c r="N19" s="65"/>
      <c r="O19" s="66"/>
      <c r="P19" s="66"/>
      <c r="Q19" s="66"/>
      <c r="R19" s="66"/>
      <c r="S19" s="98"/>
      <c r="T19" s="99"/>
    </row>
    <row r="20" ht="30" customHeight="1" spans="1:20">
      <c r="A20" s="72" t="s">
        <v>150</v>
      </c>
      <c r="B20" s="63" t="s">
        <v>144</v>
      </c>
      <c r="C20" s="64">
        <v>0</v>
      </c>
      <c r="D20" s="64">
        <v>0</v>
      </c>
      <c r="E20" s="69"/>
      <c r="F20" s="69"/>
      <c r="G20" s="64">
        <v>0</v>
      </c>
      <c r="H20" s="64">
        <v>0</v>
      </c>
      <c r="I20" s="85"/>
      <c r="J20" s="85"/>
      <c r="K20" s="85"/>
      <c r="L20" s="75"/>
      <c r="M20" s="64"/>
      <c r="N20" s="65"/>
      <c r="O20" s="64"/>
      <c r="P20" s="64"/>
      <c r="Q20" s="64"/>
      <c r="R20" s="64"/>
      <c r="S20" s="100"/>
      <c r="T20" s="101"/>
    </row>
    <row r="21" ht="30" customHeight="1" spans="1:20">
      <c r="A21" s="73"/>
      <c r="B21" s="60" t="s">
        <v>145</v>
      </c>
      <c r="C21" s="65">
        <v>0</v>
      </c>
      <c r="D21" s="65">
        <v>0</v>
      </c>
      <c r="E21" s="70"/>
      <c r="F21" s="70"/>
      <c r="G21" s="65">
        <v>0</v>
      </c>
      <c r="H21" s="65">
        <v>0</v>
      </c>
      <c r="I21" s="85"/>
      <c r="J21" s="85"/>
      <c r="K21" s="85"/>
      <c r="L21" s="76"/>
      <c r="M21" s="65"/>
      <c r="N21" s="65"/>
      <c r="O21" s="65"/>
      <c r="P21" s="65"/>
      <c r="Q21" s="65"/>
      <c r="R21" s="65"/>
      <c r="S21" s="102"/>
      <c r="T21" s="103"/>
    </row>
    <row r="22" ht="30" customHeight="1" spans="1:20">
      <c r="A22" s="74"/>
      <c r="B22" s="62" t="s">
        <v>146</v>
      </c>
      <c r="C22" s="66">
        <v>0</v>
      </c>
      <c r="D22" s="66">
        <v>0</v>
      </c>
      <c r="E22" s="71"/>
      <c r="F22" s="71"/>
      <c r="G22" s="66">
        <v>0</v>
      </c>
      <c r="H22" s="66">
        <v>0</v>
      </c>
      <c r="I22" s="85"/>
      <c r="J22" s="85"/>
      <c r="K22" s="85"/>
      <c r="L22" s="77"/>
      <c r="M22" s="66"/>
      <c r="N22" s="65"/>
      <c r="O22" s="66"/>
      <c r="P22" s="66"/>
      <c r="Q22" s="66"/>
      <c r="R22" s="66"/>
      <c r="S22" s="98"/>
      <c r="T22" s="99"/>
    </row>
    <row r="23" ht="30" customHeight="1" spans="1:20">
      <c r="A23" s="72" t="s">
        <v>151</v>
      </c>
      <c r="B23" s="63" t="s">
        <v>144</v>
      </c>
      <c r="C23" s="64">
        <v>0</v>
      </c>
      <c r="D23" s="64">
        <v>0</v>
      </c>
      <c r="E23" s="69"/>
      <c r="F23" s="69"/>
      <c r="G23" s="64">
        <v>0</v>
      </c>
      <c r="H23" s="64">
        <v>0</v>
      </c>
      <c r="I23" s="85"/>
      <c r="J23" s="85"/>
      <c r="K23" s="85"/>
      <c r="L23" s="75"/>
      <c r="M23" s="64"/>
      <c r="N23" s="65"/>
      <c r="O23" s="64"/>
      <c r="P23" s="64"/>
      <c r="Q23" s="64"/>
      <c r="R23" s="64"/>
      <c r="S23" s="100"/>
      <c r="T23" s="101"/>
    </row>
    <row r="24" ht="30" customHeight="1" spans="1:20">
      <c r="A24" s="73"/>
      <c r="B24" s="60" t="s">
        <v>145</v>
      </c>
      <c r="C24" s="65">
        <v>0</v>
      </c>
      <c r="D24" s="65">
        <v>0</v>
      </c>
      <c r="E24" s="70"/>
      <c r="F24" s="70"/>
      <c r="G24" s="65">
        <v>0</v>
      </c>
      <c r="H24" s="65">
        <v>0</v>
      </c>
      <c r="I24" s="85"/>
      <c r="J24" s="85"/>
      <c r="K24" s="85"/>
      <c r="L24" s="76"/>
      <c r="M24" s="65"/>
      <c r="N24" s="65"/>
      <c r="O24" s="65"/>
      <c r="P24" s="65"/>
      <c r="Q24" s="65"/>
      <c r="R24" s="65"/>
      <c r="S24" s="102"/>
      <c r="T24" s="103"/>
    </row>
    <row r="25" ht="30" customHeight="1" spans="1:20">
      <c r="A25" s="74"/>
      <c r="B25" s="62" t="s">
        <v>146</v>
      </c>
      <c r="C25" s="66">
        <v>0</v>
      </c>
      <c r="D25" s="66">
        <v>0</v>
      </c>
      <c r="E25" s="71"/>
      <c r="F25" s="71"/>
      <c r="G25" s="66">
        <v>0</v>
      </c>
      <c r="H25" s="66">
        <v>0</v>
      </c>
      <c r="I25" s="85"/>
      <c r="J25" s="85"/>
      <c r="K25" s="85"/>
      <c r="L25" s="77"/>
      <c r="M25" s="66"/>
      <c r="N25" s="65"/>
      <c r="O25" s="66"/>
      <c r="P25" s="66"/>
      <c r="Q25" s="66"/>
      <c r="R25" s="66"/>
      <c r="S25" s="98"/>
      <c r="T25" s="99"/>
    </row>
    <row r="26" ht="30" customHeight="1" spans="1:20">
      <c r="A26" s="59" t="s">
        <v>152</v>
      </c>
      <c r="B26" s="63" t="s">
        <v>144</v>
      </c>
      <c r="C26" s="64">
        <v>27</v>
      </c>
      <c r="D26" s="64">
        <v>27</v>
      </c>
      <c r="E26" s="64">
        <v>27</v>
      </c>
      <c r="F26" s="69"/>
      <c r="G26" s="64">
        <v>27</v>
      </c>
      <c r="H26" s="64">
        <v>27</v>
      </c>
      <c r="I26" s="85"/>
      <c r="J26" s="85"/>
      <c r="K26" s="85"/>
      <c r="L26" s="75"/>
      <c r="M26" s="64"/>
      <c r="N26" s="65"/>
      <c r="O26" s="64"/>
      <c r="P26" s="64"/>
      <c r="Q26" s="64"/>
      <c r="R26" s="64"/>
      <c r="S26" s="100"/>
      <c r="T26" s="101"/>
    </row>
    <row r="27" ht="30" customHeight="1" spans="1:20">
      <c r="A27" s="59"/>
      <c r="B27" s="60" t="s">
        <v>145</v>
      </c>
      <c r="C27" s="65">
        <v>64</v>
      </c>
      <c r="D27" s="65">
        <v>64</v>
      </c>
      <c r="E27" s="65">
        <v>64</v>
      </c>
      <c r="F27" s="70"/>
      <c r="G27" s="65">
        <v>64</v>
      </c>
      <c r="H27" s="65">
        <v>64</v>
      </c>
      <c r="I27" s="85"/>
      <c r="J27" s="85"/>
      <c r="K27" s="85"/>
      <c r="L27" s="76"/>
      <c r="M27" s="65"/>
      <c r="N27" s="65"/>
      <c r="O27" s="65"/>
      <c r="P27" s="65"/>
      <c r="Q27" s="65"/>
      <c r="R27" s="65"/>
      <c r="S27" s="102"/>
      <c r="T27" s="92"/>
    </row>
    <row r="28" ht="30" customHeight="1" spans="1:20">
      <c r="A28" s="61"/>
      <c r="B28" s="62" t="s">
        <v>146</v>
      </c>
      <c r="C28" s="65">
        <v>50</v>
      </c>
      <c r="D28" s="65">
        <v>50</v>
      </c>
      <c r="E28" s="65">
        <v>50</v>
      </c>
      <c r="F28" s="71"/>
      <c r="G28" s="65">
        <v>50</v>
      </c>
      <c r="H28" s="65">
        <v>50</v>
      </c>
      <c r="I28" s="85"/>
      <c r="J28" s="85"/>
      <c r="K28" s="85"/>
      <c r="L28" s="77"/>
      <c r="M28" s="66"/>
      <c r="N28" s="65"/>
      <c r="O28" s="66"/>
      <c r="P28" s="66"/>
      <c r="Q28" s="66"/>
      <c r="R28" s="66"/>
      <c r="S28" s="98"/>
      <c r="T28" s="99"/>
    </row>
    <row r="29" ht="30" customHeight="1" spans="1:20">
      <c r="A29" s="59" t="s">
        <v>153</v>
      </c>
      <c r="B29" s="63" t="s">
        <v>144</v>
      </c>
      <c r="C29" s="64">
        <v>27</v>
      </c>
      <c r="D29" s="64">
        <v>27</v>
      </c>
      <c r="E29" s="64">
        <v>27</v>
      </c>
      <c r="F29" s="69"/>
      <c r="G29" s="64"/>
      <c r="H29" s="64">
        <v>27</v>
      </c>
      <c r="I29" s="64">
        <v>208</v>
      </c>
      <c r="J29" s="85"/>
      <c r="K29" s="85"/>
      <c r="L29" s="75"/>
      <c r="M29" s="64"/>
      <c r="N29" s="65"/>
      <c r="O29" s="64"/>
      <c r="P29" s="64"/>
      <c r="Q29" s="64"/>
      <c r="R29" s="64"/>
      <c r="S29" s="100"/>
      <c r="T29" s="101"/>
    </row>
    <row r="30" ht="30" customHeight="1" spans="1:20">
      <c r="A30" s="59"/>
      <c r="B30" s="60" t="s">
        <v>145</v>
      </c>
      <c r="C30" s="65">
        <v>64</v>
      </c>
      <c r="D30" s="65">
        <v>64</v>
      </c>
      <c r="E30" s="65">
        <v>64</v>
      </c>
      <c r="F30" s="70"/>
      <c r="G30" s="65"/>
      <c r="H30" s="65">
        <v>64</v>
      </c>
      <c r="I30" s="65">
        <v>195</v>
      </c>
      <c r="J30" s="85"/>
      <c r="K30" s="85"/>
      <c r="L30" s="76"/>
      <c r="M30" s="65"/>
      <c r="N30" s="65"/>
      <c r="O30" s="65"/>
      <c r="P30" s="65"/>
      <c r="Q30" s="65"/>
      <c r="R30" s="65"/>
      <c r="S30" s="102"/>
      <c r="T30" s="92"/>
    </row>
    <row r="31" ht="30" customHeight="1" spans="1:20">
      <c r="A31" s="61"/>
      <c r="B31" s="62" t="s">
        <v>146</v>
      </c>
      <c r="C31" s="65">
        <v>50</v>
      </c>
      <c r="D31" s="65">
        <v>50</v>
      </c>
      <c r="E31" s="65">
        <v>50</v>
      </c>
      <c r="F31" s="71"/>
      <c r="G31" s="66"/>
      <c r="H31" s="65">
        <v>50</v>
      </c>
      <c r="I31" s="66">
        <v>99</v>
      </c>
      <c r="J31" s="85"/>
      <c r="K31" s="85"/>
      <c r="L31" s="77"/>
      <c r="M31" s="66"/>
      <c r="N31" s="65"/>
      <c r="O31" s="66"/>
      <c r="P31" s="66"/>
      <c r="Q31" s="66"/>
      <c r="R31" s="66"/>
      <c r="S31" s="98"/>
      <c r="T31" s="99"/>
    </row>
    <row r="32" ht="30" customHeight="1" spans="1:20">
      <c r="A32" s="59" t="s">
        <v>66</v>
      </c>
      <c r="B32" s="63" t="s">
        <v>144</v>
      </c>
      <c r="C32" s="64">
        <v>1</v>
      </c>
      <c r="D32" s="64">
        <v>1</v>
      </c>
      <c r="E32" s="75">
        <v>1</v>
      </c>
      <c r="F32" s="69"/>
      <c r="G32" s="64">
        <v>1</v>
      </c>
      <c r="H32" s="64">
        <v>1</v>
      </c>
      <c r="I32" s="85"/>
      <c r="J32" s="85"/>
      <c r="K32" s="85"/>
      <c r="L32" s="75"/>
      <c r="M32" s="64"/>
      <c r="N32" s="65"/>
      <c r="O32" s="64"/>
      <c r="P32" s="64"/>
      <c r="Q32" s="64"/>
      <c r="R32" s="64"/>
      <c r="S32" s="100"/>
      <c r="T32" s="101"/>
    </row>
    <row r="33" ht="30" customHeight="1" spans="1:20">
      <c r="A33" s="59"/>
      <c r="B33" s="60" t="s">
        <v>145</v>
      </c>
      <c r="C33" s="65">
        <v>3</v>
      </c>
      <c r="D33" s="65">
        <v>3</v>
      </c>
      <c r="E33" s="76">
        <v>3</v>
      </c>
      <c r="F33" s="70"/>
      <c r="G33" s="65">
        <v>3</v>
      </c>
      <c r="H33" s="65">
        <v>3</v>
      </c>
      <c r="I33" s="85"/>
      <c r="J33" s="85"/>
      <c r="K33" s="85"/>
      <c r="L33" s="76"/>
      <c r="M33" s="65"/>
      <c r="N33" s="65"/>
      <c r="O33" s="65"/>
      <c r="P33" s="65"/>
      <c r="Q33" s="65"/>
      <c r="R33" s="65"/>
      <c r="S33" s="102"/>
      <c r="T33" s="103"/>
    </row>
    <row r="34" ht="30" customHeight="1" spans="1:20">
      <c r="A34" s="61"/>
      <c r="B34" s="62" t="s">
        <v>146</v>
      </c>
      <c r="C34" s="66">
        <v>0</v>
      </c>
      <c r="D34" s="66">
        <v>0</v>
      </c>
      <c r="E34" s="77">
        <v>0</v>
      </c>
      <c r="F34" s="71"/>
      <c r="G34" s="66">
        <v>0</v>
      </c>
      <c r="H34" s="66">
        <v>0</v>
      </c>
      <c r="I34" s="85"/>
      <c r="J34" s="85"/>
      <c r="K34" s="85"/>
      <c r="L34" s="77"/>
      <c r="M34" s="66"/>
      <c r="N34" s="65"/>
      <c r="O34" s="66"/>
      <c r="P34" s="66"/>
      <c r="Q34" s="66"/>
      <c r="R34" s="66"/>
      <c r="S34" s="98"/>
      <c r="T34" s="99"/>
    </row>
    <row r="35" ht="30" customHeight="1" spans="1:20">
      <c r="A35" s="59" t="s">
        <v>68</v>
      </c>
      <c r="B35" s="63" t="s">
        <v>144</v>
      </c>
      <c r="C35" s="64">
        <v>1</v>
      </c>
      <c r="D35" s="64">
        <v>1</v>
      </c>
      <c r="E35" s="75">
        <v>1</v>
      </c>
      <c r="F35" s="69"/>
      <c r="G35" s="64">
        <v>1</v>
      </c>
      <c r="H35" s="64">
        <v>1</v>
      </c>
      <c r="I35" s="85"/>
      <c r="J35" s="85"/>
      <c r="K35" s="86"/>
      <c r="L35" s="75"/>
      <c r="M35" s="64"/>
      <c r="N35" s="65"/>
      <c r="O35" s="64"/>
      <c r="P35" s="64"/>
      <c r="Q35" s="64"/>
      <c r="R35" s="64"/>
      <c r="S35" s="100"/>
      <c r="T35" s="101"/>
    </row>
    <row r="36" ht="30" customHeight="1" spans="1:20">
      <c r="A36" s="59"/>
      <c r="B36" s="60" t="s">
        <v>145</v>
      </c>
      <c r="C36" s="65">
        <v>3</v>
      </c>
      <c r="D36" s="65">
        <v>3</v>
      </c>
      <c r="E36" s="76">
        <v>3</v>
      </c>
      <c r="F36" s="70"/>
      <c r="G36" s="65">
        <v>3</v>
      </c>
      <c r="H36" s="65">
        <v>3</v>
      </c>
      <c r="I36" s="85"/>
      <c r="J36" s="85"/>
      <c r="K36" s="76"/>
      <c r="L36" s="76"/>
      <c r="M36" s="65"/>
      <c r="N36" s="65"/>
      <c r="O36" s="65"/>
      <c r="P36" s="65"/>
      <c r="Q36" s="65"/>
      <c r="R36" s="65"/>
      <c r="S36" s="102"/>
      <c r="T36" s="103"/>
    </row>
    <row r="37" ht="30" customHeight="1" spans="1:20">
      <c r="A37" s="61"/>
      <c r="B37" s="62" t="s">
        <v>146</v>
      </c>
      <c r="C37" s="66">
        <v>0</v>
      </c>
      <c r="D37" s="66">
        <v>0</v>
      </c>
      <c r="E37" s="77">
        <v>0</v>
      </c>
      <c r="F37" s="71"/>
      <c r="G37" s="66">
        <v>0</v>
      </c>
      <c r="H37" s="66">
        <v>0</v>
      </c>
      <c r="I37" s="85"/>
      <c r="J37" s="85"/>
      <c r="K37" s="77"/>
      <c r="L37" s="77"/>
      <c r="M37" s="66"/>
      <c r="N37" s="65"/>
      <c r="O37" s="66"/>
      <c r="P37" s="66"/>
      <c r="Q37" s="66"/>
      <c r="R37" s="66"/>
      <c r="S37" s="98"/>
      <c r="T37" s="99"/>
    </row>
    <row r="38" ht="30" customHeight="1" spans="1:20">
      <c r="A38" s="59" t="s">
        <v>154</v>
      </c>
      <c r="B38" s="63" t="s">
        <v>144</v>
      </c>
      <c r="C38" s="64">
        <v>0</v>
      </c>
      <c r="D38" s="64">
        <v>0</v>
      </c>
      <c r="E38" s="64">
        <v>0</v>
      </c>
      <c r="F38" s="64">
        <v>0</v>
      </c>
      <c r="G38" s="64">
        <v>0</v>
      </c>
      <c r="H38" s="64">
        <v>0</v>
      </c>
      <c r="I38" s="85"/>
      <c r="J38" s="85"/>
      <c r="K38" s="85"/>
      <c r="L38" s="75"/>
      <c r="M38" s="64"/>
      <c r="N38" s="65"/>
      <c r="O38" s="64"/>
      <c r="P38" s="64"/>
      <c r="Q38" s="64"/>
      <c r="R38" s="64"/>
      <c r="S38" s="100"/>
      <c r="T38" s="101"/>
    </row>
    <row r="39" ht="30" customHeight="1" spans="1:20">
      <c r="A39" s="59"/>
      <c r="B39" s="60" t="s">
        <v>145</v>
      </c>
      <c r="C39" s="65">
        <v>1</v>
      </c>
      <c r="D39" s="65">
        <v>1</v>
      </c>
      <c r="E39" s="65">
        <v>1</v>
      </c>
      <c r="F39" s="65">
        <v>1</v>
      </c>
      <c r="G39" s="65">
        <v>1</v>
      </c>
      <c r="H39" s="65">
        <v>1</v>
      </c>
      <c r="I39" s="85"/>
      <c r="J39" s="85"/>
      <c r="K39" s="85"/>
      <c r="L39" s="76"/>
      <c r="M39" s="65"/>
      <c r="N39" s="65"/>
      <c r="O39" s="65"/>
      <c r="P39" s="65"/>
      <c r="Q39" s="65"/>
      <c r="R39" s="65"/>
      <c r="S39" s="102"/>
      <c r="T39" s="103"/>
    </row>
    <row r="40" ht="30" customHeight="1" spans="1:20">
      <c r="A40" s="61"/>
      <c r="B40" s="62" t="s">
        <v>146</v>
      </c>
      <c r="C40" s="66">
        <v>1</v>
      </c>
      <c r="D40" s="66">
        <v>1</v>
      </c>
      <c r="E40" s="66">
        <v>1</v>
      </c>
      <c r="F40" s="66">
        <v>1</v>
      </c>
      <c r="G40" s="66">
        <v>1</v>
      </c>
      <c r="H40" s="66">
        <v>1</v>
      </c>
      <c r="I40" s="85"/>
      <c r="J40" s="85"/>
      <c r="K40" s="85"/>
      <c r="L40" s="77"/>
      <c r="M40" s="66"/>
      <c r="N40" s="65"/>
      <c r="O40" s="66"/>
      <c r="P40" s="66"/>
      <c r="Q40" s="66"/>
      <c r="R40" s="66"/>
      <c r="S40" s="98"/>
      <c r="T40" s="99"/>
    </row>
    <row r="41" ht="30" customHeight="1" spans="1:20">
      <c r="A41" s="59" t="s">
        <v>155</v>
      </c>
      <c r="B41" s="63" t="s">
        <v>144</v>
      </c>
      <c r="C41" s="64">
        <v>1</v>
      </c>
      <c r="D41" s="64">
        <v>1</v>
      </c>
      <c r="E41" s="64">
        <v>1</v>
      </c>
      <c r="F41" s="64">
        <v>1</v>
      </c>
      <c r="G41" s="64">
        <v>1</v>
      </c>
      <c r="H41" s="64">
        <v>1</v>
      </c>
      <c r="I41" s="85"/>
      <c r="J41" s="85"/>
      <c r="K41" s="85"/>
      <c r="L41" s="75"/>
      <c r="M41" s="64"/>
      <c r="N41" s="65"/>
      <c r="O41" s="64"/>
      <c r="P41" s="64"/>
      <c r="Q41" s="64"/>
      <c r="R41" s="64"/>
      <c r="S41" s="100"/>
      <c r="T41" s="101"/>
    </row>
    <row r="42" ht="30" customHeight="1" spans="1:20">
      <c r="A42" s="59"/>
      <c r="B42" s="60" t="s">
        <v>145</v>
      </c>
      <c r="C42" s="65">
        <v>1</v>
      </c>
      <c r="D42" s="65">
        <v>1</v>
      </c>
      <c r="E42" s="65">
        <v>1</v>
      </c>
      <c r="F42" s="65">
        <v>1</v>
      </c>
      <c r="G42" s="65">
        <v>1</v>
      </c>
      <c r="H42" s="65">
        <v>1</v>
      </c>
      <c r="I42" s="85"/>
      <c r="J42" s="85"/>
      <c r="K42" s="85"/>
      <c r="L42" s="76"/>
      <c r="M42" s="65"/>
      <c r="N42" s="65"/>
      <c r="O42" s="65"/>
      <c r="P42" s="65"/>
      <c r="Q42" s="65"/>
      <c r="R42" s="65"/>
      <c r="S42" s="102"/>
      <c r="T42" s="103"/>
    </row>
    <row r="43" ht="30" customHeight="1" spans="1:20">
      <c r="A43" s="61"/>
      <c r="B43" s="62" t="s">
        <v>146</v>
      </c>
      <c r="C43" s="66">
        <v>0</v>
      </c>
      <c r="D43" s="66">
        <v>0</v>
      </c>
      <c r="E43" s="66">
        <v>0</v>
      </c>
      <c r="F43" s="66">
        <v>0</v>
      </c>
      <c r="G43" s="66">
        <v>0</v>
      </c>
      <c r="H43" s="66">
        <v>0</v>
      </c>
      <c r="I43" s="85"/>
      <c r="J43" s="85"/>
      <c r="K43" s="85"/>
      <c r="L43" s="77"/>
      <c r="M43" s="66"/>
      <c r="N43" s="65"/>
      <c r="O43" s="66"/>
      <c r="P43" s="66"/>
      <c r="Q43" s="66"/>
      <c r="R43" s="66"/>
      <c r="S43" s="98"/>
      <c r="T43" s="99"/>
    </row>
    <row r="44" ht="30" customHeight="1" spans="1:20">
      <c r="A44" s="59" t="s">
        <v>156</v>
      </c>
      <c r="B44" s="63" t="s">
        <v>144</v>
      </c>
      <c r="C44" s="64">
        <v>1</v>
      </c>
      <c r="D44" s="64">
        <v>1</v>
      </c>
      <c r="E44" s="64">
        <v>0</v>
      </c>
      <c r="F44" s="64">
        <v>0</v>
      </c>
      <c r="G44" s="64">
        <v>1</v>
      </c>
      <c r="H44" s="64">
        <v>1</v>
      </c>
      <c r="I44" s="85"/>
      <c r="J44" s="85"/>
      <c r="K44" s="85"/>
      <c r="L44" s="75"/>
      <c r="M44" s="64"/>
      <c r="N44" s="65"/>
      <c r="O44" s="64"/>
      <c r="P44" s="64"/>
      <c r="Q44" s="64"/>
      <c r="R44" s="64"/>
      <c r="S44" s="100"/>
      <c r="T44" s="101"/>
    </row>
    <row r="45" ht="30" customHeight="1" spans="1:20">
      <c r="A45" s="59"/>
      <c r="B45" s="60" t="s">
        <v>145</v>
      </c>
      <c r="C45" s="65">
        <v>2</v>
      </c>
      <c r="D45" s="65">
        <v>2</v>
      </c>
      <c r="E45" s="78">
        <v>1</v>
      </c>
      <c r="F45" s="78">
        <v>1</v>
      </c>
      <c r="G45" s="78">
        <v>1</v>
      </c>
      <c r="H45" s="78">
        <v>1</v>
      </c>
      <c r="I45" s="85"/>
      <c r="J45" s="85"/>
      <c r="K45" s="85"/>
      <c r="L45" s="76"/>
      <c r="M45" s="65"/>
      <c r="N45" s="65"/>
      <c r="O45" s="65"/>
      <c r="P45" s="65"/>
      <c r="Q45" s="65"/>
      <c r="R45" s="65"/>
      <c r="S45" s="102"/>
      <c r="T45" s="103"/>
    </row>
    <row r="46" ht="30" customHeight="1" spans="1:20">
      <c r="A46" s="61"/>
      <c r="B46" s="62" t="s">
        <v>146</v>
      </c>
      <c r="C46" s="66">
        <v>0</v>
      </c>
      <c r="D46" s="66">
        <v>0</v>
      </c>
      <c r="E46" s="66">
        <v>0</v>
      </c>
      <c r="F46" s="66">
        <v>0</v>
      </c>
      <c r="G46" s="66">
        <v>0</v>
      </c>
      <c r="H46" s="66">
        <v>0</v>
      </c>
      <c r="I46" s="85"/>
      <c r="J46" s="85"/>
      <c r="K46" s="85"/>
      <c r="L46" s="77"/>
      <c r="M46" s="66"/>
      <c r="N46" s="65"/>
      <c r="O46" s="66"/>
      <c r="P46" s="66"/>
      <c r="Q46" s="66"/>
      <c r="R46" s="66"/>
      <c r="S46" s="98"/>
      <c r="T46" s="99"/>
    </row>
    <row r="47" ht="30" customHeight="1" spans="1:20">
      <c r="A47" s="59" t="s">
        <v>157</v>
      </c>
      <c r="B47" s="63" t="s">
        <v>144</v>
      </c>
      <c r="C47" s="64">
        <v>2</v>
      </c>
      <c r="D47" s="64">
        <v>2</v>
      </c>
      <c r="E47" s="79">
        <v>3</v>
      </c>
      <c r="F47" s="75">
        <v>2</v>
      </c>
      <c r="G47" s="75">
        <v>2</v>
      </c>
      <c r="H47" s="75">
        <v>2</v>
      </c>
      <c r="I47" s="85"/>
      <c r="J47" s="85"/>
      <c r="K47" s="85"/>
      <c r="L47" s="75"/>
      <c r="M47" s="64"/>
      <c r="N47" s="65"/>
      <c r="O47" s="64"/>
      <c r="P47" s="64"/>
      <c r="Q47" s="64"/>
      <c r="R47" s="64"/>
      <c r="S47" s="100"/>
      <c r="T47" s="101"/>
    </row>
    <row r="48" ht="30" customHeight="1" spans="1:20">
      <c r="A48" s="59"/>
      <c r="B48" s="60" t="s">
        <v>145</v>
      </c>
      <c r="C48" s="65">
        <v>3</v>
      </c>
      <c r="D48" s="65">
        <v>3</v>
      </c>
      <c r="E48" s="65">
        <v>3</v>
      </c>
      <c r="F48" s="76">
        <v>3</v>
      </c>
      <c r="G48" s="76">
        <v>3</v>
      </c>
      <c r="H48" s="76">
        <v>3</v>
      </c>
      <c r="I48" s="85"/>
      <c r="J48" s="85"/>
      <c r="K48" s="85"/>
      <c r="L48" s="76"/>
      <c r="M48" s="65"/>
      <c r="N48" s="65"/>
      <c r="O48" s="65"/>
      <c r="P48" s="65"/>
      <c r="Q48" s="65"/>
      <c r="R48" s="65"/>
      <c r="S48" s="102"/>
      <c r="T48" s="103"/>
    </row>
    <row r="49" ht="30" customHeight="1" spans="1:20">
      <c r="A49" s="61"/>
      <c r="B49" s="62" t="s">
        <v>146</v>
      </c>
      <c r="C49" s="66">
        <v>3</v>
      </c>
      <c r="D49" s="66">
        <v>3</v>
      </c>
      <c r="E49" s="66">
        <v>3</v>
      </c>
      <c r="F49" s="77">
        <v>3</v>
      </c>
      <c r="G49" s="80">
        <v>3</v>
      </c>
      <c r="H49" s="80">
        <v>3</v>
      </c>
      <c r="I49" s="85"/>
      <c r="J49" s="85"/>
      <c r="K49" s="85"/>
      <c r="L49" s="77"/>
      <c r="M49" s="66"/>
      <c r="N49" s="65"/>
      <c r="O49" s="66"/>
      <c r="P49" s="66"/>
      <c r="Q49" s="66"/>
      <c r="R49" s="66"/>
      <c r="S49" s="98"/>
      <c r="T49" s="99"/>
    </row>
    <row r="50" ht="30" customHeight="1" spans="1:20">
      <c r="A50" s="56" t="s">
        <v>74</v>
      </c>
      <c r="B50" s="57" t="s">
        <v>144</v>
      </c>
      <c r="C50" s="81">
        <v>0</v>
      </c>
      <c r="D50" s="81">
        <v>0</v>
      </c>
      <c r="E50" s="81">
        <v>0</v>
      </c>
      <c r="F50" s="82"/>
      <c r="G50" s="81">
        <v>0</v>
      </c>
      <c r="H50" s="81">
        <v>0</v>
      </c>
      <c r="I50" s="85"/>
      <c r="J50" s="85"/>
      <c r="K50" s="86"/>
      <c r="L50" s="86"/>
      <c r="M50" s="81"/>
      <c r="N50" s="65"/>
      <c r="O50" s="81"/>
      <c r="P50" s="81"/>
      <c r="Q50" s="81"/>
      <c r="R50" s="81"/>
      <c r="S50" s="104"/>
      <c r="T50" s="105"/>
    </row>
    <row r="51" ht="30" customHeight="1" spans="1:20">
      <c r="A51" s="59"/>
      <c r="B51" s="60" t="s">
        <v>145</v>
      </c>
      <c r="C51" s="65">
        <v>1</v>
      </c>
      <c r="D51" s="65">
        <v>1</v>
      </c>
      <c r="E51" s="65">
        <v>1</v>
      </c>
      <c r="F51" s="70"/>
      <c r="G51" s="65">
        <v>1</v>
      </c>
      <c r="H51" s="65">
        <v>1</v>
      </c>
      <c r="I51" s="85"/>
      <c r="J51" s="85"/>
      <c r="K51" s="76"/>
      <c r="L51" s="76"/>
      <c r="M51" s="65"/>
      <c r="N51" s="65"/>
      <c r="O51" s="65"/>
      <c r="P51" s="65"/>
      <c r="Q51" s="65"/>
      <c r="R51" s="65"/>
      <c r="S51" s="102"/>
      <c r="T51" s="103"/>
    </row>
    <row r="52" ht="30" customHeight="1" spans="1:20">
      <c r="A52" s="61"/>
      <c r="B52" s="62" t="s">
        <v>146</v>
      </c>
      <c r="C52" s="66">
        <v>0</v>
      </c>
      <c r="D52" s="66">
        <v>0</v>
      </c>
      <c r="E52" s="66">
        <v>0</v>
      </c>
      <c r="F52" s="71"/>
      <c r="G52" s="66">
        <v>0</v>
      </c>
      <c r="H52" s="66">
        <v>0</v>
      </c>
      <c r="I52" s="85"/>
      <c r="J52" s="85"/>
      <c r="K52" s="77"/>
      <c r="L52" s="77"/>
      <c r="M52" s="66"/>
      <c r="N52" s="65"/>
      <c r="O52" s="66"/>
      <c r="P52" s="66"/>
      <c r="Q52" s="66"/>
      <c r="R52" s="66"/>
      <c r="S52" s="98"/>
      <c r="T52" s="99"/>
    </row>
    <row r="53" ht="30" customHeight="1" spans="1:20">
      <c r="A53" s="56" t="s">
        <v>76</v>
      </c>
      <c r="B53" s="57" t="s">
        <v>144</v>
      </c>
      <c r="C53" s="81">
        <v>0</v>
      </c>
      <c r="D53" s="81">
        <v>0</v>
      </c>
      <c r="E53" s="81">
        <v>0</v>
      </c>
      <c r="F53" s="82"/>
      <c r="G53" s="81">
        <v>0</v>
      </c>
      <c r="H53" s="81">
        <v>0</v>
      </c>
      <c r="I53" s="85"/>
      <c r="J53" s="85"/>
      <c r="K53" s="87"/>
      <c r="L53" s="86"/>
      <c r="M53" s="81"/>
      <c r="N53" s="65"/>
      <c r="O53" s="81"/>
      <c r="P53" s="81"/>
      <c r="Q53" s="81"/>
      <c r="R53" s="81"/>
      <c r="S53" s="104"/>
      <c r="T53" s="105"/>
    </row>
    <row r="54" ht="30" customHeight="1" spans="1:20">
      <c r="A54" s="59"/>
      <c r="B54" s="60" t="s">
        <v>145</v>
      </c>
      <c r="C54" s="65">
        <v>1</v>
      </c>
      <c r="D54" s="65">
        <v>1</v>
      </c>
      <c r="E54" s="65">
        <v>1</v>
      </c>
      <c r="F54" s="70"/>
      <c r="G54" s="65">
        <v>1</v>
      </c>
      <c r="H54" s="65">
        <v>1</v>
      </c>
      <c r="I54" s="85"/>
      <c r="J54" s="85"/>
      <c r="K54" s="87"/>
      <c r="L54" s="76"/>
      <c r="M54" s="65"/>
      <c r="N54" s="65"/>
      <c r="O54" s="65"/>
      <c r="P54" s="65"/>
      <c r="Q54" s="65"/>
      <c r="R54" s="65"/>
      <c r="S54" s="102"/>
      <c r="T54" s="103"/>
    </row>
    <row r="55" ht="30" customHeight="1" spans="1:20">
      <c r="A55" s="61"/>
      <c r="B55" s="62" t="s">
        <v>146</v>
      </c>
      <c r="C55" s="66">
        <v>0</v>
      </c>
      <c r="D55" s="66">
        <v>0</v>
      </c>
      <c r="E55" s="66">
        <v>0</v>
      </c>
      <c r="F55" s="71"/>
      <c r="G55" s="66">
        <v>0</v>
      </c>
      <c r="H55" s="66">
        <v>0</v>
      </c>
      <c r="I55" s="85"/>
      <c r="J55" s="85"/>
      <c r="K55" s="87"/>
      <c r="L55" s="77"/>
      <c r="M55" s="66"/>
      <c r="N55" s="65"/>
      <c r="O55" s="66"/>
      <c r="P55" s="66"/>
      <c r="Q55" s="66"/>
      <c r="R55" s="66"/>
      <c r="S55" s="98"/>
      <c r="T55" s="99"/>
    </row>
    <row r="56" ht="30" customHeight="1" spans="1:20">
      <c r="A56" s="59" t="s">
        <v>158</v>
      </c>
      <c r="B56" s="63" t="s">
        <v>144</v>
      </c>
      <c r="C56" s="64">
        <v>4</v>
      </c>
      <c r="D56" s="64">
        <v>4</v>
      </c>
      <c r="E56" s="64">
        <v>4</v>
      </c>
      <c r="F56" s="69"/>
      <c r="G56" s="64">
        <v>4</v>
      </c>
      <c r="H56" s="64">
        <v>4</v>
      </c>
      <c r="I56" s="85"/>
      <c r="J56" s="85"/>
      <c r="K56" s="85"/>
      <c r="L56" s="75"/>
      <c r="M56" s="64"/>
      <c r="N56" s="65"/>
      <c r="O56" s="64"/>
      <c r="P56" s="64"/>
      <c r="Q56" s="64"/>
      <c r="R56" s="64"/>
      <c r="S56" s="100"/>
      <c r="T56" s="101"/>
    </row>
    <row r="57" ht="30" customHeight="1" spans="1:20">
      <c r="A57" s="59"/>
      <c r="B57" s="60" t="s">
        <v>145</v>
      </c>
      <c r="C57" s="65">
        <v>2</v>
      </c>
      <c r="D57" s="65">
        <v>2</v>
      </c>
      <c r="E57" s="65">
        <v>2</v>
      </c>
      <c r="F57" s="70"/>
      <c r="G57" s="65">
        <v>2</v>
      </c>
      <c r="H57" s="65">
        <v>2</v>
      </c>
      <c r="I57" s="88"/>
      <c r="J57" s="88"/>
      <c r="K57" s="85"/>
      <c r="L57" s="76"/>
      <c r="M57" s="65"/>
      <c r="N57" s="65"/>
      <c r="O57" s="65"/>
      <c r="P57" s="65"/>
      <c r="Q57" s="65"/>
      <c r="R57" s="65"/>
      <c r="S57" s="102"/>
      <c r="T57" s="103"/>
    </row>
    <row r="58" ht="30" customHeight="1" spans="1:20">
      <c r="A58" s="61"/>
      <c r="B58" s="62" t="s">
        <v>146</v>
      </c>
      <c r="C58" s="66">
        <v>1</v>
      </c>
      <c r="D58" s="66">
        <v>1</v>
      </c>
      <c r="E58" s="66">
        <v>1</v>
      </c>
      <c r="F58" s="71"/>
      <c r="G58" s="66">
        <v>1</v>
      </c>
      <c r="H58" s="66">
        <v>1</v>
      </c>
      <c r="I58" s="89"/>
      <c r="J58" s="89"/>
      <c r="K58" s="85"/>
      <c r="L58" s="77"/>
      <c r="M58" s="66"/>
      <c r="N58" s="65"/>
      <c r="O58" s="66"/>
      <c r="P58" s="66"/>
      <c r="Q58" s="66"/>
      <c r="R58" s="66"/>
      <c r="S58" s="98"/>
      <c r="T58" s="99"/>
    </row>
    <row r="59" ht="30" customHeight="1" spans="1:20">
      <c r="A59" s="59" t="s">
        <v>159</v>
      </c>
      <c r="B59" s="63" t="s">
        <v>144</v>
      </c>
      <c r="C59" s="64">
        <v>4</v>
      </c>
      <c r="D59" s="64">
        <v>4</v>
      </c>
      <c r="E59" s="64">
        <v>4</v>
      </c>
      <c r="F59" s="69"/>
      <c r="G59" s="64">
        <v>4</v>
      </c>
      <c r="H59" s="64">
        <v>4</v>
      </c>
      <c r="I59" s="85"/>
      <c r="J59" s="85"/>
      <c r="K59" s="85"/>
      <c r="L59" s="75"/>
      <c r="M59" s="64"/>
      <c r="N59" s="65"/>
      <c r="O59" s="64"/>
      <c r="P59" s="64"/>
      <c r="Q59" s="64"/>
      <c r="R59" s="64"/>
      <c r="S59" s="100"/>
      <c r="T59" s="101"/>
    </row>
    <row r="60" ht="30" customHeight="1" spans="1:20">
      <c r="A60" s="59"/>
      <c r="B60" s="60" t="s">
        <v>145</v>
      </c>
      <c r="C60" s="65">
        <v>2</v>
      </c>
      <c r="D60" s="65">
        <v>2</v>
      </c>
      <c r="E60" s="65">
        <v>2</v>
      </c>
      <c r="F60" s="70"/>
      <c r="G60" s="65">
        <v>2</v>
      </c>
      <c r="H60" s="65">
        <v>2</v>
      </c>
      <c r="I60" s="85"/>
      <c r="J60" s="85"/>
      <c r="K60" s="85"/>
      <c r="L60" s="76"/>
      <c r="M60" s="65"/>
      <c r="N60" s="65"/>
      <c r="O60" s="65"/>
      <c r="P60" s="65"/>
      <c r="Q60" s="65"/>
      <c r="R60" s="65"/>
      <c r="S60" s="102"/>
      <c r="T60" s="103"/>
    </row>
    <row r="61" ht="30" customHeight="1" spans="1:20">
      <c r="A61" s="61"/>
      <c r="B61" s="62" t="s">
        <v>146</v>
      </c>
      <c r="C61" s="66">
        <v>1</v>
      </c>
      <c r="D61" s="66">
        <v>1</v>
      </c>
      <c r="E61" s="66">
        <v>1</v>
      </c>
      <c r="F61" s="71"/>
      <c r="G61" s="66">
        <v>1</v>
      </c>
      <c r="H61" s="66">
        <v>1</v>
      </c>
      <c r="I61" s="85"/>
      <c r="J61" s="85"/>
      <c r="K61" s="85"/>
      <c r="L61" s="77"/>
      <c r="M61" s="66"/>
      <c r="N61" s="65"/>
      <c r="O61" s="66"/>
      <c r="P61" s="66"/>
      <c r="Q61" s="66"/>
      <c r="R61" s="66"/>
      <c r="S61" s="98"/>
      <c r="T61" s="99"/>
    </row>
    <row r="62" ht="30" customHeight="1" spans="1:20">
      <c r="A62" s="59" t="s">
        <v>160</v>
      </c>
      <c r="B62" s="63" t="s">
        <v>144</v>
      </c>
      <c r="C62" s="64">
        <v>0</v>
      </c>
      <c r="D62" s="64">
        <v>0</v>
      </c>
      <c r="E62" s="64">
        <v>0</v>
      </c>
      <c r="F62" s="64">
        <v>0</v>
      </c>
      <c r="G62" s="64">
        <v>0</v>
      </c>
      <c r="H62" s="64">
        <v>0</v>
      </c>
      <c r="I62" s="85"/>
      <c r="J62" s="85"/>
      <c r="K62" s="86"/>
      <c r="L62" s="75"/>
      <c r="M62" s="64"/>
      <c r="N62" s="65"/>
      <c r="O62" s="64"/>
      <c r="P62" s="64"/>
      <c r="Q62" s="64"/>
      <c r="R62" s="64"/>
      <c r="S62" s="100"/>
      <c r="T62" s="101"/>
    </row>
    <row r="63" ht="30" customHeight="1" spans="1:20">
      <c r="A63" s="59"/>
      <c r="B63" s="60" t="s">
        <v>145</v>
      </c>
      <c r="C63" s="65">
        <v>4</v>
      </c>
      <c r="D63" s="65">
        <v>4</v>
      </c>
      <c r="E63" s="65">
        <v>4</v>
      </c>
      <c r="F63" s="65">
        <v>4</v>
      </c>
      <c r="G63" s="65">
        <v>4</v>
      </c>
      <c r="H63" s="65">
        <v>4</v>
      </c>
      <c r="I63" s="90"/>
      <c r="J63" s="90"/>
      <c r="K63" s="76"/>
      <c r="L63" s="76"/>
      <c r="M63" s="65"/>
      <c r="N63" s="65"/>
      <c r="O63" s="65"/>
      <c r="P63" s="65"/>
      <c r="Q63" s="65"/>
      <c r="R63" s="65"/>
      <c r="S63" s="102"/>
      <c r="T63" s="103"/>
    </row>
    <row r="64" ht="30" customHeight="1" spans="1:20">
      <c r="A64" s="61"/>
      <c r="B64" s="62" t="s">
        <v>146</v>
      </c>
      <c r="C64" s="66">
        <v>1</v>
      </c>
      <c r="D64" s="66">
        <v>1</v>
      </c>
      <c r="E64" s="66">
        <v>1</v>
      </c>
      <c r="F64" s="66">
        <v>1</v>
      </c>
      <c r="G64" s="66">
        <v>1</v>
      </c>
      <c r="H64" s="66">
        <v>1</v>
      </c>
      <c r="I64" s="89"/>
      <c r="J64" s="89"/>
      <c r="K64" s="77"/>
      <c r="L64" s="77"/>
      <c r="M64" s="66"/>
      <c r="N64" s="65"/>
      <c r="O64" s="66"/>
      <c r="P64" s="66"/>
      <c r="Q64" s="66"/>
      <c r="R64" s="66"/>
      <c r="S64" s="98"/>
      <c r="T64" s="99"/>
    </row>
    <row r="65" ht="30" customHeight="1" spans="1:20">
      <c r="A65" s="59" t="s">
        <v>161</v>
      </c>
      <c r="B65" s="63" t="s">
        <v>144</v>
      </c>
      <c r="C65" s="64">
        <v>0</v>
      </c>
      <c r="D65" s="64">
        <v>0</v>
      </c>
      <c r="E65" s="75">
        <v>0</v>
      </c>
      <c r="F65" s="64">
        <v>0</v>
      </c>
      <c r="G65" s="64">
        <v>0</v>
      </c>
      <c r="H65" s="75">
        <v>0</v>
      </c>
      <c r="I65" s="85"/>
      <c r="J65" s="85"/>
      <c r="K65" s="87"/>
      <c r="L65" s="75"/>
      <c r="M65" s="64"/>
      <c r="N65" s="65"/>
      <c r="O65" s="64"/>
      <c r="P65" s="64"/>
      <c r="Q65" s="64"/>
      <c r="R65" s="64"/>
      <c r="S65" s="100"/>
      <c r="T65" s="101"/>
    </row>
    <row r="66" ht="30" customHeight="1" spans="1:20">
      <c r="A66" s="59"/>
      <c r="B66" s="60" t="s">
        <v>145</v>
      </c>
      <c r="C66" s="65">
        <v>0</v>
      </c>
      <c r="D66" s="65">
        <v>0</v>
      </c>
      <c r="E66" s="76">
        <v>0</v>
      </c>
      <c r="F66" s="65">
        <v>0</v>
      </c>
      <c r="G66" s="65">
        <v>0</v>
      </c>
      <c r="H66" s="76">
        <v>0</v>
      </c>
      <c r="I66" s="90"/>
      <c r="J66" s="90"/>
      <c r="K66" s="114"/>
      <c r="L66" s="76"/>
      <c r="M66" s="65"/>
      <c r="N66" s="65"/>
      <c r="O66" s="65"/>
      <c r="P66" s="65"/>
      <c r="Q66" s="65"/>
      <c r="R66" s="65"/>
      <c r="S66" s="102"/>
      <c r="T66" s="103"/>
    </row>
    <row r="67" ht="30" customHeight="1" spans="1:20">
      <c r="A67" s="61"/>
      <c r="B67" s="62" t="s">
        <v>146</v>
      </c>
      <c r="C67" s="66">
        <v>0</v>
      </c>
      <c r="D67" s="66">
        <v>0</v>
      </c>
      <c r="E67" s="77">
        <v>0</v>
      </c>
      <c r="F67" s="66">
        <v>0</v>
      </c>
      <c r="G67" s="66">
        <v>0</v>
      </c>
      <c r="H67" s="77">
        <v>0</v>
      </c>
      <c r="I67" s="115"/>
      <c r="J67" s="115"/>
      <c r="K67" s="116"/>
      <c r="L67" s="77"/>
      <c r="M67" s="66"/>
      <c r="N67" s="65"/>
      <c r="O67" s="66"/>
      <c r="P67" s="66"/>
      <c r="Q67" s="66"/>
      <c r="R67" s="66"/>
      <c r="S67" s="98"/>
      <c r="T67" s="99"/>
    </row>
    <row r="68" ht="30" customHeight="1" spans="1:20">
      <c r="A68" s="59" t="s">
        <v>162</v>
      </c>
      <c r="B68" s="63" t="s">
        <v>144</v>
      </c>
      <c r="C68" s="75">
        <v>1</v>
      </c>
      <c r="D68" s="75">
        <v>1</v>
      </c>
      <c r="E68" s="75">
        <v>1</v>
      </c>
      <c r="F68" s="75">
        <v>1</v>
      </c>
      <c r="G68" s="75">
        <v>1</v>
      </c>
      <c r="H68" s="75">
        <v>1</v>
      </c>
      <c r="I68" s="85"/>
      <c r="J68" s="85"/>
      <c r="K68" s="87"/>
      <c r="L68" s="75"/>
      <c r="M68" s="64"/>
      <c r="N68" s="65"/>
      <c r="O68" s="64"/>
      <c r="P68" s="64"/>
      <c r="Q68" s="64"/>
      <c r="R68" s="64"/>
      <c r="S68" s="100"/>
      <c r="T68" s="101"/>
    </row>
    <row r="69" ht="30" customHeight="1" spans="1:20">
      <c r="A69" s="59"/>
      <c r="B69" s="60" t="s">
        <v>145</v>
      </c>
      <c r="C69" s="76">
        <v>5</v>
      </c>
      <c r="D69" s="76">
        <v>5</v>
      </c>
      <c r="E69" s="76">
        <v>3</v>
      </c>
      <c r="F69" s="76">
        <v>3</v>
      </c>
      <c r="G69" s="76">
        <v>3</v>
      </c>
      <c r="H69" s="76">
        <v>5</v>
      </c>
      <c r="I69" s="85"/>
      <c r="J69" s="85"/>
      <c r="K69" s="87"/>
      <c r="L69" s="76"/>
      <c r="M69" s="65"/>
      <c r="N69" s="65"/>
      <c r="O69" s="65"/>
      <c r="P69" s="65"/>
      <c r="Q69" s="65"/>
      <c r="R69" s="65"/>
      <c r="S69" s="102"/>
      <c r="T69" s="103"/>
    </row>
    <row r="70" ht="30" customHeight="1" spans="1:20">
      <c r="A70" s="61"/>
      <c r="B70" s="62" t="s">
        <v>146</v>
      </c>
      <c r="C70" s="77">
        <v>3</v>
      </c>
      <c r="D70" s="77">
        <v>3</v>
      </c>
      <c r="E70" s="77">
        <v>3</v>
      </c>
      <c r="F70" s="77">
        <v>3</v>
      </c>
      <c r="G70" s="77">
        <v>3</v>
      </c>
      <c r="H70" s="77">
        <v>3</v>
      </c>
      <c r="I70" s="85"/>
      <c r="J70" s="85"/>
      <c r="K70" s="87"/>
      <c r="L70" s="77"/>
      <c r="M70" s="66"/>
      <c r="N70" s="65"/>
      <c r="O70" s="66"/>
      <c r="P70" s="66"/>
      <c r="Q70" s="66"/>
      <c r="R70" s="66"/>
      <c r="S70" s="98"/>
      <c r="T70" s="99"/>
    </row>
    <row r="71" ht="30" customHeight="1" spans="1:20">
      <c r="A71" s="59" t="s">
        <v>91</v>
      </c>
      <c r="B71" s="60" t="s">
        <v>146</v>
      </c>
      <c r="C71" s="60">
        <v>1440</v>
      </c>
      <c r="D71" s="60">
        <v>1440</v>
      </c>
      <c r="E71" s="60">
        <v>1440</v>
      </c>
      <c r="F71" s="60">
        <v>1440</v>
      </c>
      <c r="G71" s="60">
        <v>1440</v>
      </c>
      <c r="H71" s="60">
        <v>1440</v>
      </c>
      <c r="I71" s="85"/>
      <c r="J71" s="85"/>
      <c r="K71" s="85"/>
      <c r="L71" s="60"/>
      <c r="M71" s="117"/>
      <c r="N71" s="118"/>
      <c r="O71" s="117"/>
      <c r="P71" s="60"/>
      <c r="Q71" s="60"/>
      <c r="R71" s="60"/>
      <c r="S71" s="60"/>
      <c r="T71" s="60"/>
    </row>
    <row r="72" ht="30" customHeight="1" spans="1:20">
      <c r="A72" s="59"/>
      <c r="B72" s="60"/>
      <c r="C72" s="60"/>
      <c r="D72" s="60"/>
      <c r="E72" s="60"/>
      <c r="F72" s="60"/>
      <c r="G72" s="60"/>
      <c r="H72" s="60"/>
      <c r="I72" s="85"/>
      <c r="J72" s="85"/>
      <c r="K72" s="85"/>
      <c r="L72" s="60"/>
      <c r="M72" s="119"/>
      <c r="N72" s="119"/>
      <c r="O72" s="119"/>
      <c r="P72" s="60"/>
      <c r="Q72" s="60"/>
      <c r="R72" s="60"/>
      <c r="S72" s="60"/>
      <c r="T72" s="60"/>
    </row>
    <row r="73" ht="30" customHeight="1" spans="1:20">
      <c r="A73" s="61"/>
      <c r="B73" s="62"/>
      <c r="C73" s="62"/>
      <c r="D73" s="62"/>
      <c r="E73" s="62"/>
      <c r="F73" s="62"/>
      <c r="G73" s="62"/>
      <c r="H73" s="62"/>
      <c r="I73" s="120"/>
      <c r="J73" s="120"/>
      <c r="K73" s="85"/>
      <c r="L73" s="62"/>
      <c r="M73" s="121"/>
      <c r="N73" s="121"/>
      <c r="O73" s="121"/>
      <c r="P73" s="62"/>
      <c r="Q73" s="62"/>
      <c r="R73" s="62"/>
      <c r="S73" s="62"/>
      <c r="T73" s="62"/>
    </row>
    <row r="74" ht="30" customHeight="1" spans="1:20">
      <c r="A74" s="56" t="s">
        <v>93</v>
      </c>
      <c r="B74" s="57" t="s">
        <v>144</v>
      </c>
      <c r="C74" s="81">
        <v>1</v>
      </c>
      <c r="D74" s="81">
        <v>1</v>
      </c>
      <c r="E74" s="106"/>
      <c r="F74" s="86">
        <v>1</v>
      </c>
      <c r="G74" s="86">
        <v>1</v>
      </c>
      <c r="H74" s="81">
        <v>1</v>
      </c>
      <c r="I74" s="85"/>
      <c r="J74" s="85"/>
      <c r="K74" s="87"/>
      <c r="L74" s="86"/>
      <c r="M74" s="81"/>
      <c r="N74" s="65"/>
      <c r="O74" s="81"/>
      <c r="P74" s="81"/>
      <c r="Q74" s="81"/>
      <c r="R74" s="81"/>
      <c r="S74" s="104"/>
      <c r="T74" s="105"/>
    </row>
    <row r="75" ht="30" customHeight="1" spans="1:20">
      <c r="A75" s="59"/>
      <c r="B75" s="60" t="s">
        <v>145</v>
      </c>
      <c r="C75" s="78">
        <v>2</v>
      </c>
      <c r="D75" s="78">
        <v>1</v>
      </c>
      <c r="E75" s="107"/>
      <c r="F75" s="76">
        <v>1</v>
      </c>
      <c r="G75" s="76">
        <v>1</v>
      </c>
      <c r="H75" s="65">
        <v>0</v>
      </c>
      <c r="I75" s="85"/>
      <c r="J75" s="85"/>
      <c r="K75" s="87"/>
      <c r="L75" s="76"/>
      <c r="M75" s="65"/>
      <c r="N75" s="65"/>
      <c r="O75" s="65"/>
      <c r="P75" s="65"/>
      <c r="Q75" s="65"/>
      <c r="R75" s="65"/>
      <c r="S75" s="102"/>
      <c r="T75" s="92"/>
    </row>
    <row r="76" ht="30" customHeight="1" spans="1:20">
      <c r="A76" s="61"/>
      <c r="B76" s="62" t="s">
        <v>146</v>
      </c>
      <c r="C76" s="66">
        <v>1</v>
      </c>
      <c r="D76" s="66">
        <v>1</v>
      </c>
      <c r="E76" s="108"/>
      <c r="F76" s="77">
        <v>1</v>
      </c>
      <c r="G76" s="77">
        <v>1</v>
      </c>
      <c r="H76" s="66">
        <v>1</v>
      </c>
      <c r="I76" s="85"/>
      <c r="J76" s="85"/>
      <c r="K76" s="87"/>
      <c r="L76" s="77"/>
      <c r="M76" s="66"/>
      <c r="N76" s="65"/>
      <c r="O76" s="66"/>
      <c r="P76" s="66"/>
      <c r="Q76" s="66"/>
      <c r="R76" s="66"/>
      <c r="S76" s="98"/>
      <c r="T76" s="96"/>
    </row>
    <row r="77" ht="30" customHeight="1" spans="1:20">
      <c r="A77" s="59" t="s">
        <v>163</v>
      </c>
      <c r="B77" s="63" t="s">
        <v>144</v>
      </c>
      <c r="C77" s="75">
        <v>1</v>
      </c>
      <c r="D77" s="75">
        <v>1</v>
      </c>
      <c r="E77" s="109"/>
      <c r="F77" s="75">
        <v>1</v>
      </c>
      <c r="G77" s="75">
        <v>1</v>
      </c>
      <c r="H77" s="75">
        <v>1</v>
      </c>
      <c r="I77" s="85"/>
      <c r="J77" s="85"/>
      <c r="K77" s="85"/>
      <c r="L77" s="58"/>
      <c r="M77" s="58"/>
      <c r="N77" s="58"/>
      <c r="O77" s="64"/>
      <c r="P77" s="64"/>
      <c r="Q77" s="64"/>
      <c r="R77" s="64"/>
      <c r="S77" s="100"/>
      <c r="T77" s="101"/>
    </row>
    <row r="78" ht="30" customHeight="1" spans="1:20">
      <c r="A78" s="59"/>
      <c r="B78" s="60" t="s">
        <v>145</v>
      </c>
      <c r="C78" s="110">
        <v>1</v>
      </c>
      <c r="D78" s="76">
        <v>0</v>
      </c>
      <c r="E78" s="107"/>
      <c r="F78" s="111">
        <v>0</v>
      </c>
      <c r="G78" s="111">
        <v>0</v>
      </c>
      <c r="H78" s="111">
        <v>0</v>
      </c>
      <c r="I78" s="85"/>
      <c r="J78" s="85"/>
      <c r="K78" s="85"/>
      <c r="L78" s="76"/>
      <c r="M78" s="65"/>
      <c r="N78" s="65"/>
      <c r="O78" s="65"/>
      <c r="P78" s="65"/>
      <c r="Q78" s="65"/>
      <c r="R78" s="65"/>
      <c r="S78" s="102"/>
      <c r="T78" s="103"/>
    </row>
    <row r="79" ht="30" customHeight="1" spans="1:20">
      <c r="A79" s="61"/>
      <c r="B79" s="62" t="s">
        <v>146</v>
      </c>
      <c r="C79" s="77">
        <v>1</v>
      </c>
      <c r="D79" s="77">
        <v>1</v>
      </c>
      <c r="E79" s="108"/>
      <c r="F79" s="77">
        <v>1</v>
      </c>
      <c r="G79" s="77">
        <v>1</v>
      </c>
      <c r="H79" s="77">
        <v>1</v>
      </c>
      <c r="I79" s="85"/>
      <c r="J79" s="85"/>
      <c r="K79" s="85"/>
      <c r="L79" s="77"/>
      <c r="M79" s="66"/>
      <c r="N79" s="65"/>
      <c r="O79" s="66"/>
      <c r="P79" s="66"/>
      <c r="Q79" s="66"/>
      <c r="R79" s="66"/>
      <c r="S79" s="98"/>
      <c r="T79" s="99"/>
    </row>
    <row r="80" ht="30" customHeight="1" spans="1:20">
      <c r="A80" s="59" t="s">
        <v>164</v>
      </c>
      <c r="B80" s="63" t="s">
        <v>144</v>
      </c>
      <c r="C80" s="64">
        <v>1</v>
      </c>
      <c r="D80" s="44">
        <v>1</v>
      </c>
      <c r="E80" s="109"/>
      <c r="F80" s="64">
        <v>1</v>
      </c>
      <c r="G80" s="64">
        <v>1</v>
      </c>
      <c r="H80" s="64">
        <v>1</v>
      </c>
      <c r="I80" s="85"/>
      <c r="J80" s="85"/>
      <c r="K80" s="85"/>
      <c r="L80" s="75"/>
      <c r="M80" s="64">
        <v>3</v>
      </c>
      <c r="N80" s="65"/>
      <c r="O80" s="64"/>
      <c r="P80" s="64"/>
      <c r="Q80" s="64"/>
      <c r="R80" s="64"/>
      <c r="S80" s="100"/>
      <c r="T80" s="101"/>
    </row>
    <row r="81" ht="30" customHeight="1" spans="1:20">
      <c r="A81" s="59"/>
      <c r="B81" s="60" t="s">
        <v>145</v>
      </c>
      <c r="C81" s="65">
        <v>1</v>
      </c>
      <c r="D81" s="64">
        <v>1</v>
      </c>
      <c r="E81" s="107"/>
      <c r="F81" s="65">
        <v>1</v>
      </c>
      <c r="G81" s="65">
        <v>1</v>
      </c>
      <c r="H81" s="65">
        <v>1</v>
      </c>
      <c r="I81" s="85"/>
      <c r="J81" s="85"/>
      <c r="K81" s="85"/>
      <c r="L81" s="76"/>
      <c r="M81" s="65"/>
      <c r="N81" s="65"/>
      <c r="O81" s="65"/>
      <c r="P81" s="65"/>
      <c r="Q81" s="65"/>
      <c r="R81" s="65"/>
      <c r="S81" s="102"/>
      <c r="T81" s="103"/>
    </row>
    <row r="82" ht="30" customHeight="1" spans="1:20">
      <c r="A82" s="61"/>
      <c r="B82" s="62" t="s">
        <v>146</v>
      </c>
      <c r="C82" s="66">
        <v>1</v>
      </c>
      <c r="D82" s="66">
        <v>1</v>
      </c>
      <c r="E82" s="108"/>
      <c r="F82" s="66">
        <v>1</v>
      </c>
      <c r="G82" s="66">
        <v>1</v>
      </c>
      <c r="H82" s="66">
        <v>1</v>
      </c>
      <c r="I82" s="85"/>
      <c r="J82" s="85"/>
      <c r="K82" s="85"/>
      <c r="L82" s="77"/>
      <c r="M82" s="66"/>
      <c r="N82" s="65"/>
      <c r="O82" s="66"/>
      <c r="P82" s="66"/>
      <c r="Q82" s="66"/>
      <c r="R82" s="66"/>
      <c r="S82" s="98"/>
      <c r="T82" s="99"/>
    </row>
    <row r="83" ht="30" customHeight="1" spans="1:20">
      <c r="A83" s="59" t="s">
        <v>165</v>
      </c>
      <c r="B83" s="63" t="s">
        <v>144</v>
      </c>
      <c r="C83" s="64">
        <v>0</v>
      </c>
      <c r="D83" s="64">
        <v>0</v>
      </c>
      <c r="E83" s="109"/>
      <c r="F83" s="64">
        <v>0</v>
      </c>
      <c r="G83" s="64">
        <v>0</v>
      </c>
      <c r="H83" s="64">
        <v>0</v>
      </c>
      <c r="I83" s="85"/>
      <c r="J83" s="85"/>
      <c r="K83" s="85"/>
      <c r="L83" s="75"/>
      <c r="M83" s="64"/>
      <c r="N83" s="65"/>
      <c r="O83" s="64"/>
      <c r="P83" s="64"/>
      <c r="Q83" s="64"/>
      <c r="R83" s="64"/>
      <c r="S83" s="100"/>
      <c r="T83" s="101"/>
    </row>
    <row r="84" ht="30" customHeight="1" spans="1:20">
      <c r="A84" s="59"/>
      <c r="B84" s="60" t="s">
        <v>145</v>
      </c>
      <c r="C84" s="65">
        <v>0</v>
      </c>
      <c r="D84" s="65">
        <v>0</v>
      </c>
      <c r="E84" s="107"/>
      <c r="F84" s="65">
        <v>0</v>
      </c>
      <c r="G84" s="65">
        <v>0</v>
      </c>
      <c r="H84" s="65">
        <v>0</v>
      </c>
      <c r="I84" s="85"/>
      <c r="J84" s="85"/>
      <c r="K84" s="85"/>
      <c r="L84" s="76"/>
      <c r="M84" s="65"/>
      <c r="N84" s="65"/>
      <c r="O84" s="65"/>
      <c r="P84" s="65"/>
      <c r="Q84" s="65"/>
      <c r="R84" s="65"/>
      <c r="S84" s="102"/>
      <c r="T84" s="103"/>
    </row>
    <row r="85" ht="30" customHeight="1" spans="1:20">
      <c r="A85" s="61"/>
      <c r="B85" s="62" t="s">
        <v>146</v>
      </c>
      <c r="C85" s="66">
        <v>0</v>
      </c>
      <c r="D85" s="66">
        <v>0</v>
      </c>
      <c r="E85" s="108"/>
      <c r="F85" s="66">
        <v>0</v>
      </c>
      <c r="G85" s="66">
        <v>0</v>
      </c>
      <c r="H85" s="66">
        <v>0</v>
      </c>
      <c r="I85" s="85"/>
      <c r="J85" s="85"/>
      <c r="K85" s="85"/>
      <c r="L85" s="77"/>
      <c r="M85" s="66"/>
      <c r="N85" s="65"/>
      <c r="O85" s="66"/>
      <c r="P85" s="66"/>
      <c r="Q85" s="66"/>
      <c r="R85" s="66"/>
      <c r="S85" s="98"/>
      <c r="T85" s="99"/>
    </row>
    <row r="86" ht="30" customHeight="1" spans="1:20">
      <c r="A86" s="59" t="s">
        <v>166</v>
      </c>
      <c r="B86" s="63" t="s">
        <v>144</v>
      </c>
      <c r="C86" s="64">
        <v>0</v>
      </c>
      <c r="D86" s="64">
        <v>0</v>
      </c>
      <c r="E86" s="109"/>
      <c r="F86" s="64">
        <v>0</v>
      </c>
      <c r="G86" s="64">
        <v>0</v>
      </c>
      <c r="H86" s="64">
        <v>0</v>
      </c>
      <c r="I86" s="85"/>
      <c r="J86" s="85"/>
      <c r="K86" s="85"/>
      <c r="L86" s="75"/>
      <c r="M86" s="64"/>
      <c r="N86" s="65"/>
      <c r="O86" s="64"/>
      <c r="P86" s="64"/>
      <c r="Q86" s="64"/>
      <c r="R86" s="64"/>
      <c r="S86" s="100"/>
      <c r="T86" s="101"/>
    </row>
    <row r="87" ht="30" customHeight="1" spans="1:20">
      <c r="A87" s="59"/>
      <c r="B87" s="60" t="s">
        <v>145</v>
      </c>
      <c r="C87" s="65">
        <v>0</v>
      </c>
      <c r="D87" s="65">
        <v>0</v>
      </c>
      <c r="E87" s="107"/>
      <c r="F87" s="65">
        <v>0</v>
      </c>
      <c r="G87" s="65">
        <v>0</v>
      </c>
      <c r="H87" s="65">
        <v>0</v>
      </c>
      <c r="I87" s="85"/>
      <c r="J87" s="85"/>
      <c r="K87" s="85"/>
      <c r="L87" s="76"/>
      <c r="M87" s="65"/>
      <c r="N87" s="65"/>
      <c r="O87" s="65"/>
      <c r="P87" s="65"/>
      <c r="Q87" s="65"/>
      <c r="R87" s="65"/>
      <c r="S87" s="102"/>
      <c r="T87" s="92"/>
    </row>
    <row r="88" ht="30" customHeight="1" spans="1:20">
      <c r="A88" s="61"/>
      <c r="B88" s="62" t="s">
        <v>146</v>
      </c>
      <c r="C88" s="66">
        <v>0</v>
      </c>
      <c r="D88" s="66">
        <v>0</v>
      </c>
      <c r="E88" s="108"/>
      <c r="F88" s="66">
        <v>0</v>
      </c>
      <c r="G88" s="66">
        <v>0</v>
      </c>
      <c r="H88" s="66">
        <v>0</v>
      </c>
      <c r="I88" s="85"/>
      <c r="J88" s="85"/>
      <c r="K88" s="85"/>
      <c r="L88" s="77"/>
      <c r="M88" s="66"/>
      <c r="N88" s="65"/>
      <c r="O88" s="66"/>
      <c r="P88" s="66"/>
      <c r="Q88" s="66"/>
      <c r="R88" s="66"/>
      <c r="S88" s="98"/>
      <c r="T88" s="99"/>
    </row>
    <row r="89" ht="30" customHeight="1" spans="1:20">
      <c r="A89" s="56" t="s">
        <v>167</v>
      </c>
      <c r="B89" s="57" t="s">
        <v>144</v>
      </c>
      <c r="C89" s="81">
        <v>0</v>
      </c>
      <c r="D89" s="81">
        <v>0</v>
      </c>
      <c r="E89" s="106"/>
      <c r="F89" s="81">
        <v>0</v>
      </c>
      <c r="G89" s="81">
        <v>0</v>
      </c>
      <c r="H89" s="81">
        <v>0</v>
      </c>
      <c r="I89" s="85"/>
      <c r="J89" s="85"/>
      <c r="K89" s="85"/>
      <c r="L89" s="86"/>
      <c r="M89" s="81"/>
      <c r="N89" s="65"/>
      <c r="O89" s="81"/>
      <c r="P89" s="81"/>
      <c r="Q89" s="81"/>
      <c r="R89" s="81"/>
      <c r="S89" s="104"/>
      <c r="T89" s="105"/>
    </row>
    <row r="90" ht="30" customHeight="1" spans="1:20">
      <c r="A90" s="59"/>
      <c r="B90" s="60" t="s">
        <v>145</v>
      </c>
      <c r="C90" s="112">
        <v>2</v>
      </c>
      <c r="D90" s="65">
        <v>0</v>
      </c>
      <c r="E90" s="107"/>
      <c r="F90" s="65">
        <v>0</v>
      </c>
      <c r="G90" s="65">
        <v>0</v>
      </c>
      <c r="H90" s="65">
        <v>0</v>
      </c>
      <c r="I90" s="85"/>
      <c r="J90" s="85"/>
      <c r="K90" s="85"/>
      <c r="L90" s="76"/>
      <c r="M90" s="65"/>
      <c r="N90" s="65"/>
      <c r="O90" s="65"/>
      <c r="P90" s="65"/>
      <c r="Q90" s="65"/>
      <c r="R90" s="65"/>
      <c r="S90" s="102"/>
      <c r="T90" s="103"/>
    </row>
    <row r="91" ht="30" customHeight="1" spans="1:20">
      <c r="A91" s="61"/>
      <c r="B91" s="62" t="s">
        <v>146</v>
      </c>
      <c r="C91" s="66">
        <v>0</v>
      </c>
      <c r="D91" s="113">
        <v>4</v>
      </c>
      <c r="E91" s="108"/>
      <c r="F91" s="113">
        <v>4</v>
      </c>
      <c r="G91" s="113">
        <v>4</v>
      </c>
      <c r="H91" s="113">
        <v>4</v>
      </c>
      <c r="I91" s="85"/>
      <c r="J91" s="85"/>
      <c r="K91" s="85"/>
      <c r="L91" s="77"/>
      <c r="M91" s="66"/>
      <c r="N91" s="65"/>
      <c r="O91" s="66"/>
      <c r="P91" s="66"/>
      <c r="Q91" s="66"/>
      <c r="R91" s="66"/>
      <c r="S91" s="98"/>
      <c r="T91" s="99"/>
    </row>
    <row r="92" ht="30" customHeight="1" spans="1:20">
      <c r="A92" s="56" t="s">
        <v>168</v>
      </c>
      <c r="B92" s="57" t="s">
        <v>144</v>
      </c>
      <c r="C92" s="64">
        <v>0</v>
      </c>
      <c r="D92" s="64">
        <v>0</v>
      </c>
      <c r="E92" s="106"/>
      <c r="F92" s="64">
        <v>0</v>
      </c>
      <c r="G92" s="64">
        <v>0</v>
      </c>
      <c r="H92" s="64">
        <v>0</v>
      </c>
      <c r="I92" s="85"/>
      <c r="J92" s="85"/>
      <c r="K92" s="85"/>
      <c r="L92" s="86"/>
      <c r="M92" s="81"/>
      <c r="N92" s="65"/>
      <c r="O92" s="81"/>
      <c r="P92" s="81"/>
      <c r="Q92" s="81"/>
      <c r="R92" s="81"/>
      <c r="S92" s="104"/>
      <c r="T92" s="95"/>
    </row>
    <row r="93" ht="30" customHeight="1" spans="1:20">
      <c r="A93" s="59"/>
      <c r="B93" s="60" t="s">
        <v>145</v>
      </c>
      <c r="C93" s="65">
        <v>0</v>
      </c>
      <c r="D93" s="65">
        <v>0</v>
      </c>
      <c r="E93" s="107"/>
      <c r="F93" s="65">
        <v>0</v>
      </c>
      <c r="G93" s="65">
        <v>0</v>
      </c>
      <c r="H93" s="65">
        <v>0</v>
      </c>
      <c r="I93" s="85"/>
      <c r="J93" s="85"/>
      <c r="K93" s="85"/>
      <c r="L93" s="76"/>
      <c r="M93" s="65"/>
      <c r="N93" s="65"/>
      <c r="O93" s="65"/>
      <c r="P93" s="65"/>
      <c r="Q93" s="65"/>
      <c r="R93" s="65"/>
      <c r="S93" s="102"/>
      <c r="T93" s="103"/>
    </row>
    <row r="94" ht="30" customHeight="1" spans="1:20">
      <c r="A94" s="61"/>
      <c r="B94" s="62" t="s">
        <v>146</v>
      </c>
      <c r="C94" s="66">
        <v>0</v>
      </c>
      <c r="D94" s="66">
        <v>0</v>
      </c>
      <c r="E94" s="108"/>
      <c r="F94" s="66">
        <v>0</v>
      </c>
      <c r="G94" s="66">
        <v>0</v>
      </c>
      <c r="H94" s="66">
        <v>0</v>
      </c>
      <c r="I94" s="85"/>
      <c r="J94" s="85"/>
      <c r="K94" s="85"/>
      <c r="L94" s="77"/>
      <c r="M94" s="66"/>
      <c r="N94" s="65"/>
      <c r="O94" s="66"/>
      <c r="P94" s="66"/>
      <c r="Q94" s="66"/>
      <c r="R94" s="66"/>
      <c r="S94" s="98"/>
      <c r="T94" s="96"/>
    </row>
    <row r="95" ht="30" customHeight="1" spans="1:20">
      <c r="A95" s="56" t="s">
        <v>103</v>
      </c>
      <c r="B95" s="57" t="s">
        <v>146</v>
      </c>
      <c r="C95" s="106"/>
      <c r="D95" s="86">
        <v>1368</v>
      </c>
      <c r="E95" s="106"/>
      <c r="F95" s="86">
        <v>1368</v>
      </c>
      <c r="G95" s="86">
        <v>1368</v>
      </c>
      <c r="H95" s="86">
        <v>1368</v>
      </c>
      <c r="I95" s="85"/>
      <c r="J95" s="85"/>
      <c r="K95" s="85"/>
      <c r="L95" s="86"/>
      <c r="M95" s="86"/>
      <c r="N95" s="86"/>
      <c r="O95" s="86"/>
      <c r="P95" s="86"/>
      <c r="Q95" s="86"/>
      <c r="R95" s="86"/>
      <c r="S95" s="86"/>
      <c r="T95" s="122"/>
    </row>
    <row r="96" ht="30" customHeight="1" spans="1:20">
      <c r="A96" s="59"/>
      <c r="B96" s="60"/>
      <c r="C96" s="107"/>
      <c r="D96" s="76"/>
      <c r="E96" s="107"/>
      <c r="F96" s="76"/>
      <c r="G96" s="76"/>
      <c r="H96" s="76"/>
      <c r="I96" s="85"/>
      <c r="J96" s="85"/>
      <c r="K96" s="85"/>
      <c r="L96" s="76"/>
      <c r="M96" s="76"/>
      <c r="N96" s="76"/>
      <c r="O96" s="76"/>
      <c r="P96" s="76"/>
      <c r="Q96" s="76"/>
      <c r="R96" s="76"/>
      <c r="S96" s="76"/>
      <c r="T96" s="123"/>
    </row>
    <row r="97" ht="30" customHeight="1" spans="1:20">
      <c r="A97" s="61"/>
      <c r="B97" s="62"/>
      <c r="C97" s="108"/>
      <c r="D97" s="77"/>
      <c r="E97" s="108"/>
      <c r="F97" s="77"/>
      <c r="G97" s="77"/>
      <c r="H97" s="77"/>
      <c r="I97" s="108"/>
      <c r="J97" s="108"/>
      <c r="K97" s="108"/>
      <c r="L97" s="77"/>
      <c r="M97" s="77"/>
      <c r="N97" s="77"/>
      <c r="O97" s="77"/>
      <c r="P97" s="77"/>
      <c r="Q97" s="77"/>
      <c r="R97" s="77"/>
      <c r="S97" s="77"/>
      <c r="T97" s="124"/>
    </row>
    <row r="98" ht="30" customHeight="1" spans="1:20">
      <c r="A98" s="59" t="s">
        <v>105</v>
      </c>
      <c r="B98" s="60" t="s">
        <v>146</v>
      </c>
      <c r="C98" s="107"/>
      <c r="D98" s="76">
        <v>1379</v>
      </c>
      <c r="E98" s="107"/>
      <c r="F98" s="76">
        <v>1379</v>
      </c>
      <c r="G98" s="76">
        <v>1379</v>
      </c>
      <c r="H98" s="76">
        <v>1379</v>
      </c>
      <c r="I98" s="109"/>
      <c r="J98" s="109"/>
      <c r="K98" s="109"/>
      <c r="L98" s="76"/>
      <c r="M98" s="76"/>
      <c r="N98" s="76"/>
      <c r="O98" s="76"/>
      <c r="P98" s="76"/>
      <c r="Q98" s="76"/>
      <c r="R98" s="76"/>
      <c r="S98" s="76"/>
      <c r="T98" s="123"/>
    </row>
    <row r="99" ht="30" customHeight="1" spans="1:20">
      <c r="A99" s="59"/>
      <c r="B99" s="60"/>
      <c r="C99" s="107"/>
      <c r="D99" s="76"/>
      <c r="E99" s="107"/>
      <c r="F99" s="76"/>
      <c r="G99" s="76"/>
      <c r="H99" s="76"/>
      <c r="I99" s="107"/>
      <c r="J99" s="107"/>
      <c r="K99" s="107"/>
      <c r="L99" s="76"/>
      <c r="M99" s="76"/>
      <c r="N99" s="76"/>
      <c r="O99" s="76"/>
      <c r="P99" s="76"/>
      <c r="Q99" s="76"/>
      <c r="R99" s="76"/>
      <c r="S99" s="76"/>
      <c r="T99" s="123"/>
    </row>
    <row r="100" ht="30" customHeight="1" spans="1:20">
      <c r="A100" s="61"/>
      <c r="B100" s="62"/>
      <c r="C100" s="108"/>
      <c r="D100" s="77"/>
      <c r="E100" s="108"/>
      <c r="F100" s="77"/>
      <c r="G100" s="77"/>
      <c r="H100" s="77"/>
      <c r="I100" s="108"/>
      <c r="J100" s="108"/>
      <c r="K100" s="108"/>
      <c r="L100" s="77"/>
      <c r="M100" s="77"/>
      <c r="N100" s="77"/>
      <c r="O100" s="77"/>
      <c r="P100" s="77"/>
      <c r="Q100" s="77"/>
      <c r="R100" s="77"/>
      <c r="S100" s="77"/>
      <c r="T100" s="124"/>
    </row>
  </sheetData>
  <mergeCells count="82">
    <mergeCell ref="A1:T1"/>
    <mergeCell ref="B2:G2"/>
    <mergeCell ref="B3:G3"/>
    <mergeCell ref="A5:A7"/>
    <mergeCell ref="A8:A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B71:B73"/>
    <mergeCell ref="B95:B97"/>
    <mergeCell ref="B98:B100"/>
    <mergeCell ref="C71:C73"/>
    <mergeCell ref="C95:C97"/>
    <mergeCell ref="C98:C100"/>
    <mergeCell ref="D71:D73"/>
    <mergeCell ref="D95:D97"/>
    <mergeCell ref="D98:D100"/>
    <mergeCell ref="E71:E73"/>
    <mergeCell ref="E95:E97"/>
    <mergeCell ref="E98:E100"/>
    <mergeCell ref="F71:F73"/>
    <mergeCell ref="F95:F97"/>
    <mergeCell ref="F98:F100"/>
    <mergeCell ref="G71:G73"/>
    <mergeCell ref="G95:G97"/>
    <mergeCell ref="G98:G100"/>
    <mergeCell ref="H71:H73"/>
    <mergeCell ref="H95:H97"/>
    <mergeCell ref="H98:H100"/>
    <mergeCell ref="L95:L97"/>
    <mergeCell ref="L98:L100"/>
    <mergeCell ref="M71:M73"/>
    <mergeCell ref="M95:M97"/>
    <mergeCell ref="M98:M100"/>
    <mergeCell ref="N71:N73"/>
    <mergeCell ref="N95:N97"/>
    <mergeCell ref="N98:N100"/>
    <mergeCell ref="O71:O73"/>
    <mergeCell ref="O95:O97"/>
    <mergeCell ref="O98:O100"/>
    <mergeCell ref="P71:P73"/>
    <mergeCell ref="P95:P97"/>
    <mergeCell ref="P98:P100"/>
    <mergeCell ref="Q71:Q73"/>
    <mergeCell ref="Q95:Q97"/>
    <mergeCell ref="Q98:Q100"/>
    <mergeCell ref="R71:R73"/>
    <mergeCell ref="R95:R97"/>
    <mergeCell ref="R98:R100"/>
    <mergeCell ref="S71:S73"/>
    <mergeCell ref="S95:S97"/>
    <mergeCell ref="S98:S100"/>
    <mergeCell ref="T71:T73"/>
    <mergeCell ref="T95:T97"/>
    <mergeCell ref="T98:T100"/>
  </mergeCells>
  <dataValidations count="1">
    <dataValidation type="list" allowBlank="1" showInputMessage="1" showErrorMessage="1" sqref="B2:G2">
      <formula1>Sheet1!$A$1:$A$64</formula1>
    </dataValidation>
  </dataValidations>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5"/>
  <sheetViews>
    <sheetView workbookViewId="0">
      <pane xSplit="2" ySplit="1" topLeftCell="C22" activePane="bottomRight" state="frozen"/>
      <selection/>
      <selection pane="topRight"/>
      <selection pane="bottomLeft"/>
      <selection pane="bottomRight" activeCell="B14" sqref="B14"/>
    </sheetView>
  </sheetViews>
  <sheetFormatPr defaultColWidth="9" defaultRowHeight="12.75"/>
  <cols>
    <col min="1" max="1" width="4" style="4" customWidth="1"/>
    <col min="2" max="2" width="29.4666666666667" style="5" customWidth="1"/>
    <col min="3" max="6" width="9" style="4"/>
    <col min="7" max="7" width="5.06666666666667" style="6" customWidth="1"/>
    <col min="8" max="8" width="3.73333333333333" style="5" customWidth="1"/>
    <col min="9" max="9" width="29" style="5" customWidth="1"/>
    <col min="10" max="13" width="9" style="4"/>
    <col min="14" max="16384" width="9" style="5"/>
  </cols>
  <sheetData>
    <row r="1" ht="15.75" spans="1:13">
      <c r="A1" s="7"/>
      <c r="B1" s="8" t="s">
        <v>169</v>
      </c>
      <c r="C1" s="8"/>
      <c r="D1" s="8"/>
      <c r="E1" s="8"/>
      <c r="F1" s="8"/>
      <c r="G1" s="9"/>
      <c r="H1" s="10"/>
      <c r="I1" s="8" t="s">
        <v>53</v>
      </c>
      <c r="J1" s="8"/>
      <c r="K1" s="8"/>
      <c r="L1" s="8"/>
      <c r="M1" s="8"/>
    </row>
    <row r="2" s="1" customFormat="1" ht="11.25" spans="1:14">
      <c r="A2" s="11" t="s">
        <v>170</v>
      </c>
      <c r="B2" s="12" t="s">
        <v>171</v>
      </c>
      <c r="C2" s="13">
        <v>45955</v>
      </c>
      <c r="D2" s="13">
        <v>45986</v>
      </c>
      <c r="E2" s="13">
        <v>46016</v>
      </c>
      <c r="F2" s="14" t="s">
        <v>9</v>
      </c>
      <c r="G2" s="15"/>
      <c r="H2" s="16" t="s">
        <v>170</v>
      </c>
      <c r="I2" s="12" t="s">
        <v>171</v>
      </c>
      <c r="J2" s="13">
        <v>45955</v>
      </c>
      <c r="K2" s="13">
        <v>45986</v>
      </c>
      <c r="L2" s="13">
        <v>46016</v>
      </c>
      <c r="M2" s="14" t="s">
        <v>9</v>
      </c>
      <c r="N2" s="39"/>
    </row>
    <row r="3" s="2" customFormat="1" ht="11.25" spans="1:13">
      <c r="A3" s="17">
        <v>1</v>
      </c>
      <c r="B3" s="18" t="s">
        <v>172</v>
      </c>
      <c r="C3" s="19"/>
      <c r="D3" s="19"/>
      <c r="E3" s="19"/>
      <c r="F3" s="20">
        <f t="shared" ref="F3:F28" si="0">SUM(C3:E3)</f>
        <v>0</v>
      </c>
      <c r="G3" s="21"/>
      <c r="H3" s="17">
        <v>1</v>
      </c>
      <c r="I3" s="18" t="s">
        <v>172</v>
      </c>
      <c r="J3" s="19"/>
      <c r="K3" s="19"/>
      <c r="L3" s="19"/>
      <c r="M3" s="20">
        <f t="shared" ref="M3:M28" si="1">SUM(J3:L3)</f>
        <v>0</v>
      </c>
    </row>
    <row r="4" s="2" customFormat="1" ht="11.25" spans="1:13">
      <c r="A4" s="17">
        <v>2</v>
      </c>
      <c r="B4" s="18" t="s">
        <v>173</v>
      </c>
      <c r="C4" s="19"/>
      <c r="D4" s="19"/>
      <c r="E4" s="19"/>
      <c r="F4" s="20">
        <f t="shared" si="0"/>
        <v>0</v>
      </c>
      <c r="G4" s="21"/>
      <c r="H4" s="17">
        <v>2</v>
      </c>
      <c r="I4" s="18" t="s">
        <v>173</v>
      </c>
      <c r="J4" s="19"/>
      <c r="K4" s="19"/>
      <c r="L4" s="19"/>
      <c r="M4" s="20">
        <f t="shared" si="1"/>
        <v>0</v>
      </c>
    </row>
    <row r="5" s="2" customFormat="1" ht="11.25" spans="1:13">
      <c r="A5" s="17" t="s">
        <v>174</v>
      </c>
      <c r="B5" s="18" t="s">
        <v>175</v>
      </c>
      <c r="C5" s="19"/>
      <c r="D5" s="19"/>
      <c r="E5" s="19"/>
      <c r="F5" s="20">
        <f t="shared" si="0"/>
        <v>0</v>
      </c>
      <c r="G5" s="21"/>
      <c r="H5" s="17" t="s">
        <v>174</v>
      </c>
      <c r="I5" s="18" t="s">
        <v>176</v>
      </c>
      <c r="J5" s="19"/>
      <c r="K5" s="19"/>
      <c r="L5" s="19"/>
      <c r="M5" s="20">
        <f t="shared" si="1"/>
        <v>0</v>
      </c>
    </row>
    <row r="6" s="2" customFormat="1" ht="11.25" spans="1:13">
      <c r="A6" s="17" t="s">
        <v>177</v>
      </c>
      <c r="B6" s="18" t="s">
        <v>178</v>
      </c>
      <c r="C6" s="19"/>
      <c r="D6" s="19"/>
      <c r="E6" s="19"/>
      <c r="F6" s="20">
        <f t="shared" si="0"/>
        <v>0</v>
      </c>
      <c r="G6" s="21"/>
      <c r="H6" s="17" t="s">
        <v>177</v>
      </c>
      <c r="I6" s="18" t="s">
        <v>179</v>
      </c>
      <c r="J6" s="19"/>
      <c r="K6" s="19"/>
      <c r="L6" s="19"/>
      <c r="M6" s="20">
        <f t="shared" si="1"/>
        <v>0</v>
      </c>
    </row>
    <row r="7" s="2" customFormat="1" ht="11.25" spans="1:13">
      <c r="A7" s="17" t="s">
        <v>180</v>
      </c>
      <c r="B7" s="18" t="s">
        <v>181</v>
      </c>
      <c r="C7" s="19"/>
      <c r="D7" s="19"/>
      <c r="E7" s="19"/>
      <c r="F7" s="20">
        <f t="shared" si="0"/>
        <v>0</v>
      </c>
      <c r="G7" s="21"/>
      <c r="H7" s="17" t="s">
        <v>180</v>
      </c>
      <c r="I7" s="18" t="s">
        <v>182</v>
      </c>
      <c r="J7" s="19"/>
      <c r="K7" s="19"/>
      <c r="L7" s="19"/>
      <c r="M7" s="20">
        <f t="shared" si="1"/>
        <v>0</v>
      </c>
    </row>
    <row r="8" s="2" customFormat="1" ht="11.25" spans="1:13">
      <c r="A8" s="17" t="s">
        <v>183</v>
      </c>
      <c r="B8" s="18" t="s">
        <v>184</v>
      </c>
      <c r="C8" s="19"/>
      <c r="D8" s="19"/>
      <c r="E8" s="19"/>
      <c r="F8" s="20">
        <f t="shared" si="0"/>
        <v>0</v>
      </c>
      <c r="G8" s="21"/>
      <c r="H8" s="17" t="s">
        <v>183</v>
      </c>
      <c r="I8" s="18" t="s">
        <v>185</v>
      </c>
      <c r="J8" s="19"/>
      <c r="K8" s="19"/>
      <c r="L8" s="19"/>
      <c r="M8" s="20">
        <f t="shared" si="1"/>
        <v>0</v>
      </c>
    </row>
    <row r="9" s="2" customFormat="1" ht="11.25" spans="1:13">
      <c r="A9" s="17" t="s">
        <v>186</v>
      </c>
      <c r="B9" s="22" t="s">
        <v>187</v>
      </c>
      <c r="C9" s="19"/>
      <c r="D9" s="19"/>
      <c r="E9" s="19"/>
      <c r="F9" s="20">
        <f t="shared" si="0"/>
        <v>0</v>
      </c>
      <c r="G9" s="21"/>
      <c r="H9" s="17" t="s">
        <v>186</v>
      </c>
      <c r="I9" s="22" t="s">
        <v>187</v>
      </c>
      <c r="J9" s="19"/>
      <c r="K9" s="19"/>
      <c r="L9" s="19"/>
      <c r="M9" s="20">
        <f t="shared" si="1"/>
        <v>0</v>
      </c>
    </row>
    <row r="10" s="2" customFormat="1" ht="22.5" spans="1:13">
      <c r="A10" s="17" t="s">
        <v>188</v>
      </c>
      <c r="B10" s="22" t="s">
        <v>189</v>
      </c>
      <c r="C10" s="19"/>
      <c r="D10" s="19"/>
      <c r="E10" s="19"/>
      <c r="F10" s="20">
        <f t="shared" si="0"/>
        <v>0</v>
      </c>
      <c r="G10" s="21"/>
      <c r="H10" s="17" t="s">
        <v>188</v>
      </c>
      <c r="I10" s="22" t="s">
        <v>189</v>
      </c>
      <c r="J10" s="19"/>
      <c r="K10" s="19"/>
      <c r="L10" s="19"/>
      <c r="M10" s="20">
        <f t="shared" si="1"/>
        <v>0</v>
      </c>
    </row>
    <row r="11" s="3" customFormat="1" ht="11.25" spans="1:13">
      <c r="A11" s="17">
        <v>4</v>
      </c>
      <c r="B11" s="23" t="s">
        <v>190</v>
      </c>
      <c r="C11" s="19"/>
      <c r="D11" s="19"/>
      <c r="E11" s="19"/>
      <c r="F11" s="20">
        <f t="shared" si="0"/>
        <v>0</v>
      </c>
      <c r="G11" s="21"/>
      <c r="H11" s="17">
        <v>4</v>
      </c>
      <c r="I11" s="23" t="s">
        <v>190</v>
      </c>
      <c r="J11" s="19"/>
      <c r="K11" s="19"/>
      <c r="L11" s="19"/>
      <c r="M11" s="20">
        <f t="shared" si="1"/>
        <v>0</v>
      </c>
    </row>
    <row r="12" s="2" customFormat="1" ht="11.25" spans="1:13">
      <c r="A12" s="17">
        <v>5</v>
      </c>
      <c r="B12" s="24" t="s">
        <v>191</v>
      </c>
      <c r="C12" s="19"/>
      <c r="D12" s="19"/>
      <c r="E12" s="19"/>
      <c r="F12" s="20">
        <f t="shared" si="0"/>
        <v>0</v>
      </c>
      <c r="G12" s="21"/>
      <c r="H12" s="17">
        <v>5</v>
      </c>
      <c r="I12" s="18" t="s">
        <v>191</v>
      </c>
      <c r="J12" s="19"/>
      <c r="K12" s="19"/>
      <c r="L12" s="19"/>
      <c r="M12" s="20">
        <f t="shared" si="1"/>
        <v>0</v>
      </c>
    </row>
    <row r="13" s="1" customFormat="1" ht="11.25" spans="1:13">
      <c r="A13" s="17">
        <v>6</v>
      </c>
      <c r="B13" s="18" t="s">
        <v>192</v>
      </c>
      <c r="C13" s="19"/>
      <c r="D13" s="19"/>
      <c r="E13" s="19"/>
      <c r="F13" s="20">
        <f t="shared" si="0"/>
        <v>0</v>
      </c>
      <c r="G13" s="25"/>
      <c r="H13" s="17">
        <v>7</v>
      </c>
      <c r="I13" s="18" t="s">
        <v>192</v>
      </c>
      <c r="J13" s="19"/>
      <c r="K13" s="19"/>
      <c r="L13" s="19"/>
      <c r="M13" s="20">
        <f t="shared" si="1"/>
        <v>0</v>
      </c>
    </row>
    <row r="14" s="2" customFormat="1" ht="11.25" spans="1:13">
      <c r="A14" s="17">
        <v>7</v>
      </c>
      <c r="B14" s="18" t="s">
        <v>193</v>
      </c>
      <c r="C14" s="19"/>
      <c r="D14" s="19"/>
      <c r="E14" s="19"/>
      <c r="F14" s="20">
        <f t="shared" si="0"/>
        <v>0</v>
      </c>
      <c r="G14" s="21"/>
      <c r="H14" s="17">
        <v>8</v>
      </c>
      <c r="I14" s="18" t="s">
        <v>193</v>
      </c>
      <c r="J14" s="19"/>
      <c r="K14" s="19"/>
      <c r="L14" s="19"/>
      <c r="M14" s="20">
        <f t="shared" si="1"/>
        <v>0</v>
      </c>
    </row>
    <row r="15" s="2" customFormat="1" ht="11.25" spans="1:13">
      <c r="A15" s="17">
        <v>8</v>
      </c>
      <c r="B15" s="18" t="s">
        <v>194</v>
      </c>
      <c r="C15" s="19"/>
      <c r="D15" s="19"/>
      <c r="E15" s="19"/>
      <c r="F15" s="20">
        <f t="shared" si="0"/>
        <v>0</v>
      </c>
      <c r="G15" s="21"/>
      <c r="H15" s="17">
        <v>9</v>
      </c>
      <c r="I15" s="18" t="s">
        <v>194</v>
      </c>
      <c r="J15" s="19"/>
      <c r="K15" s="19"/>
      <c r="L15" s="19"/>
      <c r="M15" s="20">
        <f t="shared" si="1"/>
        <v>0</v>
      </c>
    </row>
    <row r="16" s="2" customFormat="1" ht="11.25" spans="1:13">
      <c r="A16" s="17">
        <v>9</v>
      </c>
      <c r="B16" s="18" t="s">
        <v>195</v>
      </c>
      <c r="C16" s="19"/>
      <c r="D16" s="19"/>
      <c r="E16" s="19"/>
      <c r="F16" s="20">
        <f t="shared" si="0"/>
        <v>0</v>
      </c>
      <c r="G16" s="21"/>
      <c r="H16" s="17">
        <v>10</v>
      </c>
      <c r="I16" s="18" t="s">
        <v>195</v>
      </c>
      <c r="J16" s="19"/>
      <c r="K16" s="19"/>
      <c r="L16" s="19"/>
      <c r="M16" s="20">
        <f t="shared" si="1"/>
        <v>0</v>
      </c>
    </row>
    <row r="17" s="1" customFormat="1" ht="33.75" spans="1:13">
      <c r="A17" s="17">
        <v>10</v>
      </c>
      <c r="B17" s="26" t="s">
        <v>196</v>
      </c>
      <c r="C17" s="19"/>
      <c r="D17" s="19"/>
      <c r="E17" s="19"/>
      <c r="F17" s="20">
        <f t="shared" si="0"/>
        <v>0</v>
      </c>
      <c r="G17" s="25"/>
      <c r="H17" s="17">
        <v>6</v>
      </c>
      <c r="I17" s="16" t="s">
        <v>196</v>
      </c>
      <c r="J17" s="19"/>
      <c r="K17" s="19"/>
      <c r="L17" s="19"/>
      <c r="M17" s="20">
        <f t="shared" si="1"/>
        <v>0</v>
      </c>
    </row>
    <row r="18" s="2" customFormat="1" ht="11.25" spans="1:13">
      <c r="A18" s="17">
        <v>11</v>
      </c>
      <c r="B18" s="18" t="s">
        <v>197</v>
      </c>
      <c r="C18" s="19"/>
      <c r="D18" s="19"/>
      <c r="E18" s="19"/>
      <c r="F18" s="20">
        <f t="shared" si="0"/>
        <v>0</v>
      </c>
      <c r="G18" s="21"/>
      <c r="H18" s="17">
        <v>11</v>
      </c>
      <c r="I18" s="18" t="s">
        <v>197</v>
      </c>
      <c r="J18" s="19"/>
      <c r="K18" s="19"/>
      <c r="L18" s="19"/>
      <c r="M18" s="20">
        <f t="shared" si="1"/>
        <v>0</v>
      </c>
    </row>
    <row r="19" s="2" customFormat="1" ht="11.25" spans="1:13">
      <c r="A19" s="17">
        <v>12</v>
      </c>
      <c r="B19" s="18" t="s">
        <v>198</v>
      </c>
      <c r="C19" s="19"/>
      <c r="D19" s="19"/>
      <c r="E19" s="19"/>
      <c r="F19" s="20">
        <f t="shared" si="0"/>
        <v>0</v>
      </c>
      <c r="G19" s="21"/>
      <c r="H19" s="17">
        <v>12</v>
      </c>
      <c r="I19" s="18" t="s">
        <v>198</v>
      </c>
      <c r="J19" s="19"/>
      <c r="K19" s="19"/>
      <c r="L19" s="19"/>
      <c r="M19" s="20">
        <f t="shared" si="1"/>
        <v>0</v>
      </c>
    </row>
    <row r="20" s="2" customFormat="1" ht="11.25" spans="1:13">
      <c r="A20" s="17" t="s">
        <v>199</v>
      </c>
      <c r="B20" s="18" t="s">
        <v>200</v>
      </c>
      <c r="C20" s="19"/>
      <c r="D20" s="19"/>
      <c r="E20" s="19"/>
      <c r="F20" s="20">
        <f t="shared" si="0"/>
        <v>0</v>
      </c>
      <c r="G20" s="21"/>
      <c r="H20" s="17" t="s">
        <v>199</v>
      </c>
      <c r="I20" s="18" t="s">
        <v>200</v>
      </c>
      <c r="J20" s="19"/>
      <c r="K20" s="19"/>
      <c r="L20" s="19"/>
      <c r="M20" s="20">
        <f t="shared" si="1"/>
        <v>0</v>
      </c>
    </row>
    <row r="21" s="2" customFormat="1" ht="11.25" spans="1:13">
      <c r="A21" s="17" t="s">
        <v>201</v>
      </c>
      <c r="B21" s="18" t="s">
        <v>202</v>
      </c>
      <c r="C21" s="19"/>
      <c r="D21" s="19"/>
      <c r="E21" s="19"/>
      <c r="F21" s="20">
        <f t="shared" si="0"/>
        <v>0</v>
      </c>
      <c r="G21" s="21"/>
      <c r="H21" s="17" t="s">
        <v>201</v>
      </c>
      <c r="I21" s="18" t="s">
        <v>202</v>
      </c>
      <c r="J21" s="19"/>
      <c r="K21" s="19"/>
      <c r="L21" s="19"/>
      <c r="M21" s="20">
        <f t="shared" si="1"/>
        <v>0</v>
      </c>
    </row>
    <row r="22" s="2" customFormat="1" ht="11.25" spans="1:13">
      <c r="A22" s="17" t="s">
        <v>203</v>
      </c>
      <c r="B22" s="18" t="s">
        <v>204</v>
      </c>
      <c r="C22" s="19"/>
      <c r="D22" s="19"/>
      <c r="E22" s="19"/>
      <c r="F22" s="20">
        <f t="shared" si="0"/>
        <v>0</v>
      </c>
      <c r="G22" s="21"/>
      <c r="H22" s="17" t="s">
        <v>203</v>
      </c>
      <c r="I22" s="18" t="s">
        <v>204</v>
      </c>
      <c r="J22" s="19"/>
      <c r="K22" s="19"/>
      <c r="L22" s="19"/>
      <c r="M22" s="20">
        <f t="shared" si="1"/>
        <v>0</v>
      </c>
    </row>
    <row r="23" s="2" customFormat="1" ht="11.25" spans="1:13">
      <c r="A23" s="17">
        <v>14</v>
      </c>
      <c r="B23" s="27" t="s">
        <v>205</v>
      </c>
      <c r="C23" s="19"/>
      <c r="D23" s="19"/>
      <c r="E23" s="19"/>
      <c r="F23" s="20">
        <f t="shared" si="0"/>
        <v>0</v>
      </c>
      <c r="G23" s="21"/>
      <c r="H23" s="17">
        <v>14</v>
      </c>
      <c r="I23" s="27" t="s">
        <v>205</v>
      </c>
      <c r="J23" s="19"/>
      <c r="K23" s="19"/>
      <c r="L23" s="19"/>
      <c r="M23" s="20">
        <f t="shared" si="1"/>
        <v>0</v>
      </c>
    </row>
    <row r="24" s="2" customFormat="1" ht="33.75" spans="1:13">
      <c r="A24" s="17">
        <v>15</v>
      </c>
      <c r="B24" s="28" t="s">
        <v>206</v>
      </c>
      <c r="C24" s="19"/>
      <c r="D24" s="19"/>
      <c r="E24" s="19"/>
      <c r="F24" s="20">
        <f t="shared" si="0"/>
        <v>0</v>
      </c>
      <c r="G24" s="21"/>
      <c r="H24" s="17">
        <v>15</v>
      </c>
      <c r="I24" s="18" t="s">
        <v>207</v>
      </c>
      <c r="J24" s="19"/>
      <c r="K24" s="19"/>
      <c r="L24" s="19"/>
      <c r="M24" s="20">
        <f t="shared" si="1"/>
        <v>0</v>
      </c>
    </row>
    <row r="25" s="2" customFormat="1" ht="11.25" spans="1:13">
      <c r="A25" s="17">
        <v>16</v>
      </c>
      <c r="B25" s="18" t="s">
        <v>208</v>
      </c>
      <c r="C25" s="19"/>
      <c r="D25" s="19"/>
      <c r="E25" s="19"/>
      <c r="F25" s="20">
        <f t="shared" si="0"/>
        <v>0</v>
      </c>
      <c r="G25" s="21"/>
      <c r="H25" s="17">
        <v>16</v>
      </c>
      <c r="I25" s="18" t="s">
        <v>209</v>
      </c>
      <c r="J25" s="19"/>
      <c r="K25" s="19"/>
      <c r="L25" s="19"/>
      <c r="M25" s="20">
        <f t="shared" si="1"/>
        <v>0</v>
      </c>
    </row>
    <row r="26" s="2" customFormat="1" ht="11.25" spans="1:13">
      <c r="A26" s="17">
        <v>17</v>
      </c>
      <c r="B26" s="18" t="s">
        <v>210</v>
      </c>
      <c r="C26" s="19"/>
      <c r="D26" s="19"/>
      <c r="E26" s="19"/>
      <c r="F26" s="20">
        <f t="shared" si="0"/>
        <v>0</v>
      </c>
      <c r="G26" s="21"/>
      <c r="H26" s="17">
        <v>17</v>
      </c>
      <c r="I26" s="18" t="s">
        <v>210</v>
      </c>
      <c r="J26" s="19"/>
      <c r="K26" s="19"/>
      <c r="L26" s="19"/>
      <c r="M26" s="20">
        <f t="shared" si="1"/>
        <v>0</v>
      </c>
    </row>
    <row r="27" s="2" customFormat="1" ht="11.25" spans="1:13">
      <c r="A27" s="17">
        <v>18</v>
      </c>
      <c r="B27" s="18" t="s">
        <v>211</v>
      </c>
      <c r="C27" s="19"/>
      <c r="D27" s="19"/>
      <c r="E27" s="19"/>
      <c r="F27" s="20">
        <f t="shared" si="0"/>
        <v>0</v>
      </c>
      <c r="G27" s="21"/>
      <c r="H27" s="17">
        <v>18</v>
      </c>
      <c r="I27" s="18" t="s">
        <v>211</v>
      </c>
      <c r="J27" s="19"/>
      <c r="K27" s="19"/>
      <c r="L27" s="19"/>
      <c r="M27" s="20">
        <f t="shared" si="1"/>
        <v>0</v>
      </c>
    </row>
    <row r="28" s="2" customFormat="1" ht="11.25" spans="1:13">
      <c r="A28" s="17">
        <v>19</v>
      </c>
      <c r="B28" s="18" t="s">
        <v>212</v>
      </c>
      <c r="C28" s="19"/>
      <c r="D28" s="19"/>
      <c r="E28" s="19"/>
      <c r="F28" s="20">
        <f t="shared" si="0"/>
        <v>0</v>
      </c>
      <c r="G28" s="21"/>
      <c r="H28" s="17">
        <v>19</v>
      </c>
      <c r="I28" s="18" t="s">
        <v>212</v>
      </c>
      <c r="J28" s="19"/>
      <c r="K28" s="19"/>
      <c r="L28" s="19"/>
      <c r="M28" s="20">
        <f t="shared" si="1"/>
        <v>0</v>
      </c>
    </row>
    <row r="29" s="3" customFormat="1" ht="11.25" spans="1:13">
      <c r="A29" s="29"/>
      <c r="B29" s="30" t="s">
        <v>213</v>
      </c>
      <c r="C29" s="31">
        <f>SUM(C25:C28)</f>
        <v>0</v>
      </c>
      <c r="D29" s="31">
        <f>SUM(D25:D28)</f>
        <v>0</v>
      </c>
      <c r="E29" s="31">
        <f>SUM(E25:E28)</f>
        <v>0</v>
      </c>
      <c r="F29" s="32">
        <f>SUM(F25:F28)</f>
        <v>0</v>
      </c>
      <c r="G29" s="21"/>
      <c r="H29" s="29"/>
      <c r="I29" s="30" t="s">
        <v>214</v>
      </c>
      <c r="J29" s="31">
        <f>SUM(J25:J28)</f>
        <v>0</v>
      </c>
      <c r="K29" s="31">
        <f>SUM(K25:K28)</f>
        <v>0</v>
      </c>
      <c r="L29" s="31">
        <f>SUM(L25:L28)</f>
        <v>0</v>
      </c>
      <c r="M29" s="32">
        <f>SUM(M25:M28)</f>
        <v>0</v>
      </c>
    </row>
    <row r="30" s="3" customFormat="1" ht="15.4" customHeight="1" spans="1:13">
      <c r="A30" s="17">
        <v>20</v>
      </c>
      <c r="B30" s="27" t="s">
        <v>215</v>
      </c>
      <c r="C30" s="19"/>
      <c r="D30" s="19"/>
      <c r="E30" s="19"/>
      <c r="F30" s="20">
        <f>SUM(C30:E30)</f>
        <v>0</v>
      </c>
      <c r="G30" s="21"/>
      <c r="H30" s="17">
        <v>20</v>
      </c>
      <c r="I30" s="27" t="s">
        <v>215</v>
      </c>
      <c r="J30" s="19"/>
      <c r="K30" s="19"/>
      <c r="L30" s="19"/>
      <c r="M30" s="20">
        <f>SUM(J30:L30)</f>
        <v>0</v>
      </c>
    </row>
    <row r="31" s="3" customFormat="1" ht="11.25" spans="1:13">
      <c r="A31" s="17">
        <v>21</v>
      </c>
      <c r="B31" s="23" t="s">
        <v>216</v>
      </c>
      <c r="C31" s="33"/>
      <c r="D31" s="33"/>
      <c r="E31" s="33"/>
      <c r="F31" s="20">
        <f>SUM(C31:E31)</f>
        <v>0</v>
      </c>
      <c r="G31" s="21"/>
      <c r="H31" s="17">
        <v>21</v>
      </c>
      <c r="I31" s="23" t="s">
        <v>216</v>
      </c>
      <c r="J31" s="33"/>
      <c r="K31" s="33"/>
      <c r="L31" s="33"/>
      <c r="M31" s="20">
        <f>SUM(J31:L31)</f>
        <v>0</v>
      </c>
    </row>
    <row r="32" s="3" customFormat="1" ht="11.25" spans="1:13">
      <c r="A32" s="17">
        <v>22</v>
      </c>
      <c r="B32" s="18" t="s">
        <v>217</v>
      </c>
      <c r="C32" s="33"/>
      <c r="D32" s="33"/>
      <c r="E32" s="33"/>
      <c r="F32" s="20">
        <f>SUM(C32:E32)</f>
        <v>0</v>
      </c>
      <c r="G32" s="21"/>
      <c r="H32" s="17">
        <v>22</v>
      </c>
      <c r="I32" s="18" t="s">
        <v>217</v>
      </c>
      <c r="J32" s="33"/>
      <c r="K32" s="33"/>
      <c r="L32" s="33"/>
      <c r="M32" s="20">
        <f>SUM(J32:L32)</f>
        <v>0</v>
      </c>
    </row>
    <row r="33" s="3" customFormat="1" ht="15.75" customHeight="1" spans="1:13">
      <c r="A33" s="34" t="s">
        <v>218</v>
      </c>
      <c r="B33" s="34"/>
      <c r="C33" s="35">
        <f>SUM(C27+C28+C30+C31+C32)</f>
        <v>0</v>
      </c>
      <c r="D33" s="35">
        <f>SUM(D27+D28+D30+D31+D32)</f>
        <v>0</v>
      </c>
      <c r="E33" s="35">
        <f>SUM(E27+E28+E30+E31+E32)</f>
        <v>0</v>
      </c>
      <c r="F33" s="35">
        <f>SUM(F27+F28+F30+F31+F11+F32)</f>
        <v>0</v>
      </c>
      <c r="G33" s="21"/>
      <c r="H33" s="34" t="s">
        <v>219</v>
      </c>
      <c r="I33" s="34"/>
      <c r="J33" s="35">
        <f>SUM(J27+J28+J30+J31+J32)</f>
        <v>0</v>
      </c>
      <c r="K33" s="35">
        <f>SUM(K27+K28+K30+K31+K32)</f>
        <v>0</v>
      </c>
      <c r="L33" s="35">
        <f>SUM(L27+L28+L30+L31+L32)</f>
        <v>0</v>
      </c>
      <c r="M33" s="35">
        <f>SUM(M27+M28+M30+M31+M11+M32)</f>
        <v>0</v>
      </c>
    </row>
    <row r="34" s="2" customFormat="1" ht="15.75" customHeight="1" spans="1:13">
      <c r="A34" s="36" t="s">
        <v>220</v>
      </c>
      <c r="B34" s="36"/>
      <c r="C34" s="35">
        <f>SUM(C3:C26)</f>
        <v>0</v>
      </c>
      <c r="D34" s="35">
        <f>SUM(D3:D26)</f>
        <v>0</v>
      </c>
      <c r="E34" s="35">
        <f>SUM(E3:E26)</f>
        <v>0</v>
      </c>
      <c r="F34" s="35">
        <f>SUM(F3:F26)</f>
        <v>0</v>
      </c>
      <c r="G34" s="21"/>
      <c r="H34" s="36" t="s">
        <v>221</v>
      </c>
      <c r="I34" s="36"/>
      <c r="J34" s="35">
        <f>SUM(J3:J26)+J11</f>
        <v>0</v>
      </c>
      <c r="K34" s="35">
        <f>SUM(K3:K26)+K11</f>
        <v>0</v>
      </c>
      <c r="L34" s="35">
        <f>SUM(L3:L26)+L11</f>
        <v>0</v>
      </c>
      <c r="M34" s="35">
        <f>SUM(M3:M26)</f>
        <v>0</v>
      </c>
    </row>
    <row r="35" ht="16.5" spans="1:13">
      <c r="A35" s="8" t="s">
        <v>143</v>
      </c>
      <c r="B35" s="8"/>
      <c r="C35" s="37">
        <f>SUM(C33:C34)</f>
        <v>0</v>
      </c>
      <c r="D35" s="37">
        <f>SUM(D33:D34)</f>
        <v>0</v>
      </c>
      <c r="E35" s="37">
        <f>SUM(E33:E34)</f>
        <v>0</v>
      </c>
      <c r="F35" s="37">
        <f>SUM(F33:F34)</f>
        <v>0</v>
      </c>
      <c r="G35" s="38"/>
      <c r="H35" s="8" t="s">
        <v>147</v>
      </c>
      <c r="I35" s="8"/>
      <c r="J35" s="37">
        <f>SUM(J33:J34)</f>
        <v>0</v>
      </c>
      <c r="K35" s="37">
        <f>SUM(K33:K34)</f>
        <v>0</v>
      </c>
      <c r="L35" s="37">
        <f>SUM(L33:L34)</f>
        <v>0</v>
      </c>
      <c r="M35" s="37">
        <f>SUM(M33:M34)</f>
        <v>0</v>
      </c>
    </row>
  </sheetData>
  <mergeCells count="8">
    <mergeCell ref="B1:F1"/>
    <mergeCell ref="I1:M1"/>
    <mergeCell ref="A33:B33"/>
    <mergeCell ref="H33:I33"/>
    <mergeCell ref="A34:B34"/>
    <mergeCell ref="H34:I34"/>
    <mergeCell ref="A35:B35"/>
    <mergeCell ref="H35:I35"/>
  </mergeCells>
  <pageMargins left="0.7" right="0.7" top="0.75" bottom="0.75" header="0.3" footer="0.3"/>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4"/>
  <sheetViews>
    <sheetView topLeftCell="A39" workbookViewId="0">
      <selection activeCell="G8" sqref="G8"/>
    </sheetView>
  </sheetViews>
  <sheetFormatPr defaultColWidth="9" defaultRowHeight="14.25"/>
  <sheetData>
    <row r="1" spans="1:1">
      <c r="A1" t="s">
        <v>222</v>
      </c>
    </row>
    <row r="2" spans="1:1">
      <c r="A2" t="s">
        <v>223</v>
      </c>
    </row>
    <row r="3" spans="1:1">
      <c r="A3" t="s">
        <v>224</v>
      </c>
    </row>
    <row r="4" spans="1:1">
      <c r="A4" t="s">
        <v>225</v>
      </c>
    </row>
    <row r="5" spans="1:1">
      <c r="A5" t="s">
        <v>226</v>
      </c>
    </row>
    <row r="6" spans="1:1">
      <c r="A6" t="s">
        <v>227</v>
      </c>
    </row>
    <row r="7" spans="1:1">
      <c r="A7" t="s">
        <v>228</v>
      </c>
    </row>
    <row r="8" spans="1:1">
      <c r="A8" t="s">
        <v>229</v>
      </c>
    </row>
    <row r="9" spans="1:1">
      <c r="A9" t="s">
        <v>230</v>
      </c>
    </row>
    <row r="10" spans="1:1">
      <c r="A10" t="s">
        <v>231</v>
      </c>
    </row>
    <row r="11" spans="1:1">
      <c r="A11" t="s">
        <v>232</v>
      </c>
    </row>
    <row r="12" spans="1:1">
      <c r="A12" t="s">
        <v>233</v>
      </c>
    </row>
    <row r="13" spans="1:1">
      <c r="A13" t="s">
        <v>234</v>
      </c>
    </row>
    <row r="14" spans="1:1">
      <c r="A14" t="s">
        <v>235</v>
      </c>
    </row>
    <row r="15" spans="1:1">
      <c r="A15" t="s">
        <v>236</v>
      </c>
    </row>
    <row r="16" spans="1:1">
      <c r="A16" t="s">
        <v>237</v>
      </c>
    </row>
    <row r="17" spans="1:1">
      <c r="A17" t="s">
        <v>238</v>
      </c>
    </row>
    <row r="18" spans="1:1">
      <c r="A18" t="s">
        <v>239</v>
      </c>
    </row>
    <row r="19" spans="1:1">
      <c r="A19" t="s">
        <v>240</v>
      </c>
    </row>
    <row r="20" spans="1:1">
      <c r="A20" t="s">
        <v>241</v>
      </c>
    </row>
    <row r="21" spans="1:1">
      <c r="A21" t="s">
        <v>242</v>
      </c>
    </row>
    <row r="22" spans="1:1">
      <c r="A22" t="s">
        <v>243</v>
      </c>
    </row>
    <row r="23" spans="1:1">
      <c r="A23" t="s">
        <v>244</v>
      </c>
    </row>
    <row r="24" spans="1:1">
      <c r="A24" t="s">
        <v>245</v>
      </c>
    </row>
    <row r="25" spans="1:1">
      <c r="A25" t="s">
        <v>246</v>
      </c>
    </row>
    <row r="26" spans="1:1">
      <c r="A26" t="s">
        <v>247</v>
      </c>
    </row>
    <row r="27" spans="1:1">
      <c r="A27" t="s">
        <v>248</v>
      </c>
    </row>
    <row r="28" spans="1:1">
      <c r="A28" t="s">
        <v>249</v>
      </c>
    </row>
    <row r="29" spans="1:1">
      <c r="A29" t="s">
        <v>250</v>
      </c>
    </row>
    <row r="30" spans="1:1">
      <c r="A30" t="s">
        <v>251</v>
      </c>
    </row>
    <row r="31" spans="1:1">
      <c r="A31" t="s">
        <v>252</v>
      </c>
    </row>
    <row r="32" spans="1:1">
      <c r="A32" t="s">
        <v>253</v>
      </c>
    </row>
    <row r="33" spans="1:1">
      <c r="A33" t="s">
        <v>254</v>
      </c>
    </row>
    <row r="34" spans="1:1">
      <c r="A34" t="s">
        <v>255</v>
      </c>
    </row>
    <row r="35" spans="1:1">
      <c r="A35" t="s">
        <v>256</v>
      </c>
    </row>
    <row r="36" spans="1:1">
      <c r="A36" t="s">
        <v>257</v>
      </c>
    </row>
    <row r="37" spans="1:1">
      <c r="A37" t="s">
        <v>258</v>
      </c>
    </row>
    <row r="38" spans="1:1">
      <c r="A38" t="s">
        <v>259</v>
      </c>
    </row>
    <row r="39" spans="1:1">
      <c r="A39" t="s">
        <v>260</v>
      </c>
    </row>
    <row r="40" spans="1:1">
      <c r="A40" t="s">
        <v>261</v>
      </c>
    </row>
    <row r="41" spans="1:1">
      <c r="A41" t="s">
        <v>262</v>
      </c>
    </row>
    <row r="42" spans="1:1">
      <c r="A42" t="s">
        <v>263</v>
      </c>
    </row>
    <row r="43" spans="1:1">
      <c r="A43" t="s">
        <v>264</v>
      </c>
    </row>
    <row r="44" spans="1:1">
      <c r="A44" t="s">
        <v>265</v>
      </c>
    </row>
    <row r="45" spans="1:1">
      <c r="A45" t="s">
        <v>266</v>
      </c>
    </row>
    <row r="46" spans="1:1">
      <c r="A46" t="s">
        <v>5</v>
      </c>
    </row>
    <row r="47" spans="1:1">
      <c r="A47" t="s">
        <v>267</v>
      </c>
    </row>
    <row r="48" spans="1:1">
      <c r="A48" t="s">
        <v>268</v>
      </c>
    </row>
    <row r="49" spans="1:1">
      <c r="A49" t="s">
        <v>269</v>
      </c>
    </row>
    <row r="50" spans="1:1">
      <c r="A50" t="s">
        <v>270</v>
      </c>
    </row>
    <row r="51" spans="1:1">
      <c r="A51" t="s">
        <v>271</v>
      </c>
    </row>
    <row r="52" spans="1:1">
      <c r="A52" t="s">
        <v>272</v>
      </c>
    </row>
    <row r="53" spans="1:1">
      <c r="A53" t="s">
        <v>273</v>
      </c>
    </row>
    <row r="54" spans="1:1">
      <c r="A54" t="s">
        <v>274</v>
      </c>
    </row>
    <row r="55" spans="1:1">
      <c r="A55" t="s">
        <v>275</v>
      </c>
    </row>
    <row r="56" spans="1:1">
      <c r="A56" t="s">
        <v>276</v>
      </c>
    </row>
    <row r="57" spans="1:1">
      <c r="A57" t="s">
        <v>277</v>
      </c>
    </row>
    <row r="58" spans="1:1">
      <c r="A58" t="s">
        <v>278</v>
      </c>
    </row>
    <row r="59" spans="1:1">
      <c r="A59" t="s">
        <v>279</v>
      </c>
    </row>
    <row r="60" spans="1:1">
      <c r="A60" t="s">
        <v>280</v>
      </c>
    </row>
    <row r="61" spans="1:1">
      <c r="A61" t="s">
        <v>281</v>
      </c>
    </row>
    <row r="62" spans="1:1">
      <c r="A62" t="s">
        <v>282</v>
      </c>
    </row>
    <row r="63" spans="1:1">
      <c r="A63" t="s">
        <v>283</v>
      </c>
    </row>
    <row r="64" spans="1:1">
      <c r="A64" t="s">
        <v>284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DVV template</vt:lpstr>
      <vt:lpstr>SDQA Monthly Breakdown</vt:lpstr>
      <vt:lpstr>HTS Tally Sheet</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ekpe isaac junior</cp:lastModifiedBy>
  <dcterms:created xsi:type="dcterms:W3CDTF">2025-10-29T20:18:00Z</dcterms:created>
  <dcterms:modified xsi:type="dcterms:W3CDTF">2026-02-05T09:07:06Z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30CD1EDFBE554C6B8E9442C36A5F3AF7_13</vt:lpwstr>
  </property>
  <property fmtid="{D5CDD505-2E9C-101B-9397-08002B2CF9AE}" pid="3" name="KSOProductBuildVer">
    <vt:lpwstr>1033-12.2.0.23196</vt:lpwstr>
  </property>
</Properties>
</file>