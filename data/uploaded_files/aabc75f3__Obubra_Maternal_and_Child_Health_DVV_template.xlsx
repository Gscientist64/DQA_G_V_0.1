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C:\FY26 Q1 DQA\DVV template\"/>
    </mc:Choice>
  </mc:AlternateContent>
  <xr:revisionPtr revIDLastSave="0" documentId="13_ncr:1_{5CA9609F-4FEB-4A8F-9C68-BE0D20ED5281}" xr6:coauthVersionLast="47" xr6:coauthVersionMax="47" xr10:uidLastSave="{00000000-0000-0000-0000-000000000000}"/>
  <bookViews>
    <workbookView xWindow="-98" yWindow="-98" windowWidth="19396" windowHeight="11475" xr2:uid="{00000000-000D-0000-FFFF-FFFF00000000}"/>
  </bookViews>
  <sheets>
    <sheet name="DVV template" sheetId="1" r:id="rId1"/>
    <sheet name="Sheet1" sheetId="2"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O11" i="1" l="1"/>
  <c r="AP96" i="1" l="1"/>
  <c r="H70" i="1"/>
  <c r="H71" i="1"/>
  <c r="H72" i="1"/>
  <c r="H73" i="1"/>
  <c r="H69" i="1"/>
  <c r="AQ69" i="1" s="1"/>
  <c r="H66" i="1"/>
  <c r="H63" i="1"/>
  <c r="AQ63" i="1" s="1"/>
  <c r="H62" i="1"/>
  <c r="H61" i="1"/>
  <c r="L23" i="1"/>
  <c r="L22" i="1"/>
  <c r="L21" i="1"/>
  <c r="AQ21" i="1" s="1"/>
  <c r="L20" i="1"/>
  <c r="Q23" i="1"/>
  <c r="Q22" i="1"/>
  <c r="Q21" i="1"/>
  <c r="Q20" i="1"/>
  <c r="AM45" i="1"/>
  <c r="R97" i="1"/>
  <c r="M97" i="1"/>
  <c r="I97" i="1"/>
  <c r="AR96" i="1"/>
  <c r="R96" i="1"/>
  <c r="Q96" i="1"/>
  <c r="M96" i="1"/>
  <c r="L96" i="1"/>
  <c r="I96" i="1"/>
  <c r="H96" i="1"/>
  <c r="AR93" i="1"/>
  <c r="AQ93" i="1"/>
  <c r="AO93" i="1"/>
  <c r="AK93" i="1"/>
  <c r="AI93" i="1"/>
  <c r="AH93" i="1"/>
  <c r="AD93" i="1"/>
  <c r="AB93" i="1"/>
  <c r="AA93" i="1"/>
  <c r="Q93" i="1"/>
  <c r="L93" i="1"/>
  <c r="H93" i="1"/>
  <c r="AR90" i="1"/>
  <c r="AQ90" i="1"/>
  <c r="AO90" i="1"/>
  <c r="AK90" i="1"/>
  <c r="AI90" i="1"/>
  <c r="AH90" i="1"/>
  <c r="AD90" i="1"/>
  <c r="AB90" i="1"/>
  <c r="AA90" i="1"/>
  <c r="Q90" i="1"/>
  <c r="L90" i="1"/>
  <c r="H90" i="1"/>
  <c r="AQ87" i="1"/>
  <c r="AO87" i="1"/>
  <c r="AJ87" i="1"/>
  <c r="AI87" i="1"/>
  <c r="AH87" i="1"/>
  <c r="AC87" i="1"/>
  <c r="AB87" i="1"/>
  <c r="AA87" i="1"/>
  <c r="Q87" i="1"/>
  <c r="L87" i="1"/>
  <c r="H87" i="1"/>
  <c r="AR84" i="1"/>
  <c r="AQ84" i="1"/>
  <c r="AO84" i="1"/>
  <c r="AL84" i="1"/>
  <c r="AK84" i="1"/>
  <c r="AI84" i="1"/>
  <c r="AH84" i="1"/>
  <c r="AE84" i="1"/>
  <c r="AD84" i="1"/>
  <c r="AB84" i="1"/>
  <c r="AA84" i="1"/>
  <c r="Q84" i="1"/>
  <c r="L84" i="1"/>
  <c r="H84" i="1"/>
  <c r="AR81" i="1"/>
  <c r="AQ81" i="1"/>
  <c r="AO81" i="1"/>
  <c r="AL81" i="1"/>
  <c r="AK81" i="1"/>
  <c r="AI81" i="1"/>
  <c r="AH81" i="1"/>
  <c r="AE81" i="1"/>
  <c r="AD81" i="1"/>
  <c r="AB81" i="1"/>
  <c r="AA81" i="1"/>
  <c r="Q81" i="1"/>
  <c r="L81" i="1"/>
  <c r="H81" i="1"/>
  <c r="AR78" i="1"/>
  <c r="AL78" i="1"/>
  <c r="AK78" i="1"/>
  <c r="AO78" i="1" s="1"/>
  <c r="AQ78" i="1" s="1"/>
  <c r="AI78" i="1"/>
  <c r="AH78" i="1"/>
  <c r="AE78" i="1"/>
  <c r="AD78" i="1"/>
  <c r="AB78" i="1"/>
  <c r="AA78" i="1"/>
  <c r="Q78" i="1"/>
  <c r="L78" i="1"/>
  <c r="H78" i="1"/>
  <c r="AR75" i="1"/>
  <c r="AL75" i="1"/>
  <c r="AI75" i="1"/>
  <c r="AH75" i="1"/>
  <c r="AE75" i="1"/>
  <c r="AD75" i="1"/>
  <c r="AK75" i="1" s="1"/>
  <c r="AO75" i="1" s="1"/>
  <c r="AB75" i="1"/>
  <c r="AA75" i="1"/>
  <c r="Q75" i="1"/>
  <c r="L75" i="1"/>
  <c r="H75" i="1"/>
  <c r="AR74" i="1"/>
  <c r="AP74" i="1"/>
  <c r="R74" i="1"/>
  <c r="Q74" i="1"/>
  <c r="M74" i="1"/>
  <c r="L74" i="1"/>
  <c r="I74" i="1"/>
  <c r="AR73" i="1"/>
  <c r="AQ73" i="1"/>
  <c r="AL73" i="1"/>
  <c r="AK73" i="1"/>
  <c r="AI73" i="1"/>
  <c r="AH73" i="1"/>
  <c r="AE73" i="1"/>
  <c r="AD73" i="1"/>
  <c r="AB73" i="1"/>
  <c r="AA73" i="1"/>
  <c r="Q73" i="1"/>
  <c r="L73" i="1"/>
  <c r="AR72" i="1"/>
  <c r="AQ72" i="1"/>
  <c r="AL72" i="1"/>
  <c r="AK72" i="1"/>
  <c r="AI72" i="1"/>
  <c r="AH72" i="1"/>
  <c r="AE72" i="1"/>
  <c r="AD72" i="1"/>
  <c r="AB72" i="1"/>
  <c r="AA72" i="1"/>
  <c r="Q72" i="1"/>
  <c r="L72" i="1"/>
  <c r="AR71" i="1"/>
  <c r="AQ71" i="1"/>
  <c r="AL71" i="1"/>
  <c r="AK71" i="1"/>
  <c r="AI71" i="1"/>
  <c r="AH71" i="1"/>
  <c r="AE71" i="1"/>
  <c r="AD71" i="1"/>
  <c r="AB71" i="1"/>
  <c r="AA71" i="1"/>
  <c r="Q71" i="1"/>
  <c r="L71" i="1"/>
  <c r="AR70" i="1"/>
  <c r="AQ70" i="1"/>
  <c r="AL70" i="1"/>
  <c r="AK70" i="1"/>
  <c r="AI70" i="1"/>
  <c r="AH70" i="1"/>
  <c r="AE70" i="1"/>
  <c r="AD70" i="1"/>
  <c r="AB70" i="1"/>
  <c r="AA70" i="1"/>
  <c r="Q70" i="1"/>
  <c r="L70" i="1"/>
  <c r="AR69" i="1"/>
  <c r="AO69" i="1"/>
  <c r="AL69" i="1"/>
  <c r="AK69" i="1"/>
  <c r="AI69" i="1"/>
  <c r="AH69" i="1"/>
  <c r="AE69" i="1"/>
  <c r="AD69" i="1"/>
  <c r="AB69" i="1"/>
  <c r="AA69" i="1"/>
  <c r="Q69" i="1"/>
  <c r="L69" i="1"/>
  <c r="AR66" i="1"/>
  <c r="AQ66" i="1"/>
  <c r="AM66" i="1"/>
  <c r="AL66" i="1"/>
  <c r="AK66" i="1"/>
  <c r="AI66" i="1"/>
  <c r="AH66" i="1"/>
  <c r="AF66" i="1"/>
  <c r="AE66" i="1"/>
  <c r="AD66" i="1"/>
  <c r="AB66" i="1"/>
  <c r="AA66" i="1"/>
  <c r="Q66" i="1"/>
  <c r="L66" i="1"/>
  <c r="AR63" i="1"/>
  <c r="AM63" i="1"/>
  <c r="AL63" i="1"/>
  <c r="AK63" i="1"/>
  <c r="AI63" i="1"/>
  <c r="AH63" i="1"/>
  <c r="AF63" i="1"/>
  <c r="AE63" i="1"/>
  <c r="AD63" i="1"/>
  <c r="AB63" i="1"/>
  <c r="AA63" i="1"/>
  <c r="Q63" i="1"/>
  <c r="L63" i="1"/>
  <c r="AR62" i="1"/>
  <c r="AK62" i="1"/>
  <c r="AJ62" i="1"/>
  <c r="AI62" i="1"/>
  <c r="AH62" i="1"/>
  <c r="AE62" i="1"/>
  <c r="AL62" i="1" s="1"/>
  <c r="AO62" i="1" s="1"/>
  <c r="AD62" i="1"/>
  <c r="AC62" i="1"/>
  <c r="AB62" i="1"/>
  <c r="AA62" i="1"/>
  <c r="Q62" i="1"/>
  <c r="L62" i="1"/>
  <c r="AP61" i="1"/>
  <c r="R61" i="1"/>
  <c r="M61" i="1"/>
  <c r="I61" i="1"/>
  <c r="AR58" i="1"/>
  <c r="AQ58" i="1"/>
  <c r="AO58" i="1"/>
  <c r="AM58" i="1"/>
  <c r="AL58" i="1"/>
  <c r="AK58" i="1"/>
  <c r="AJ58" i="1"/>
  <c r="AI58" i="1"/>
  <c r="AH58" i="1"/>
  <c r="AF58" i="1"/>
  <c r="AE58" i="1"/>
  <c r="AD58" i="1"/>
  <c r="AC58" i="1"/>
  <c r="AB58" i="1"/>
  <c r="AA58" i="1"/>
  <c r="Q58" i="1"/>
  <c r="L58" i="1"/>
  <c r="H58" i="1"/>
  <c r="AR55" i="1"/>
  <c r="AM55" i="1"/>
  <c r="AQ55" i="1"/>
  <c r="AK55" i="1"/>
  <c r="AJ55" i="1"/>
  <c r="AI55" i="1"/>
  <c r="AH55" i="1"/>
  <c r="AF55" i="1"/>
  <c r="AD55" i="1"/>
  <c r="AC55" i="1"/>
  <c r="AB55" i="1"/>
  <c r="AA55" i="1"/>
  <c r="Q55" i="1"/>
  <c r="L55" i="1"/>
  <c r="H55" i="1"/>
  <c r="AR52" i="1"/>
  <c r="AM52" i="1"/>
  <c r="AK52" i="1"/>
  <c r="AJ52" i="1"/>
  <c r="AI52" i="1"/>
  <c r="AH52" i="1"/>
  <c r="AF52" i="1"/>
  <c r="AO52" i="1"/>
  <c r="AQ52" i="1" s="1"/>
  <c r="AD52" i="1"/>
  <c r="AC52" i="1"/>
  <c r="AB52" i="1"/>
  <c r="AA52" i="1"/>
  <c r="Q52" i="1"/>
  <c r="L52" i="1"/>
  <c r="H52" i="1"/>
  <c r="AR49" i="1"/>
  <c r="AQ49" i="1"/>
  <c r="AJ49" i="1"/>
  <c r="AI49" i="1"/>
  <c r="AH49" i="1"/>
  <c r="AC49" i="1"/>
  <c r="AB49" i="1"/>
  <c r="AA49" i="1"/>
  <c r="Q49" i="1"/>
  <c r="L49" i="1"/>
  <c r="H49" i="1"/>
  <c r="AR46" i="1"/>
  <c r="AQ46" i="1"/>
  <c r="AJ46" i="1"/>
  <c r="AI46" i="1"/>
  <c r="AH46" i="1"/>
  <c r="AC46" i="1"/>
  <c r="AB46" i="1"/>
  <c r="AA46" i="1"/>
  <c r="Q46" i="1"/>
  <c r="L46" i="1"/>
  <c r="H46" i="1"/>
  <c r="AR45" i="1"/>
  <c r="AK45" i="1"/>
  <c r="AJ45" i="1"/>
  <c r="AI45" i="1"/>
  <c r="AH45" i="1"/>
  <c r="AF45" i="1"/>
  <c r="AE45" i="1"/>
  <c r="AD45" i="1"/>
  <c r="AC45" i="1"/>
  <c r="AB45" i="1"/>
  <c r="AA45" i="1"/>
  <c r="Q45" i="1"/>
  <c r="L45" i="1"/>
  <c r="H45" i="1"/>
  <c r="AR42" i="1"/>
  <c r="AN42" i="1"/>
  <c r="AJ42" i="1"/>
  <c r="AI42" i="1"/>
  <c r="AH42" i="1"/>
  <c r="AG42" i="1"/>
  <c r="AE42" i="1"/>
  <c r="AQ42" i="1" s="1"/>
  <c r="AC42" i="1"/>
  <c r="AB42" i="1"/>
  <c r="AA42" i="1"/>
  <c r="Q42" i="1"/>
  <c r="L42" i="1"/>
  <c r="H42" i="1"/>
  <c r="AR39" i="1"/>
  <c r="AN39" i="1"/>
  <c r="AJ39" i="1"/>
  <c r="AI39" i="1"/>
  <c r="AH39" i="1"/>
  <c r="AG39" i="1"/>
  <c r="AE39" i="1"/>
  <c r="AO39" i="1" s="1"/>
  <c r="AQ39" i="1" s="1"/>
  <c r="AC39" i="1"/>
  <c r="AB39" i="1"/>
  <c r="AA39" i="1"/>
  <c r="Q39" i="1"/>
  <c r="L39" i="1"/>
  <c r="H39" i="1"/>
  <c r="AR36" i="1"/>
  <c r="AG36" i="1"/>
  <c r="AN36" i="1" s="1"/>
  <c r="AE36" i="1"/>
  <c r="AC36" i="1"/>
  <c r="AJ36" i="1" s="1"/>
  <c r="AB36" i="1"/>
  <c r="AI36" i="1" s="1"/>
  <c r="AA36" i="1"/>
  <c r="AH36" i="1" s="1"/>
  <c r="Q36" i="1"/>
  <c r="L36" i="1"/>
  <c r="H36" i="1"/>
  <c r="AR33" i="1"/>
  <c r="AI33" i="1"/>
  <c r="AH33" i="1"/>
  <c r="AF33" i="1"/>
  <c r="AE33" i="1"/>
  <c r="AC33" i="1"/>
  <c r="AJ33" i="1" s="1"/>
  <c r="AB33" i="1"/>
  <c r="AA33" i="1"/>
  <c r="Q33" i="1"/>
  <c r="L33" i="1"/>
  <c r="H33" i="1"/>
  <c r="AR30" i="1"/>
  <c r="AJ30" i="1"/>
  <c r="AI30" i="1"/>
  <c r="AH30" i="1"/>
  <c r="AG30" i="1"/>
  <c r="AE30" i="1"/>
  <c r="AD30" i="1"/>
  <c r="AK30" i="1" s="1"/>
  <c r="AC30" i="1"/>
  <c r="AB30" i="1"/>
  <c r="AA30" i="1"/>
  <c r="Q30" i="1"/>
  <c r="L30" i="1"/>
  <c r="H30" i="1"/>
  <c r="AR27" i="1"/>
  <c r="AI27" i="1"/>
  <c r="AH27" i="1"/>
  <c r="AG27" i="1"/>
  <c r="AN27" i="1" s="1"/>
  <c r="AE27" i="1"/>
  <c r="AD27" i="1"/>
  <c r="AK27" i="1" s="1"/>
  <c r="AC27" i="1"/>
  <c r="AJ27" i="1" s="1"/>
  <c r="AB27" i="1"/>
  <c r="AA27" i="1"/>
  <c r="Q27" i="1"/>
  <c r="L27" i="1"/>
  <c r="H27" i="1"/>
  <c r="AR24" i="1"/>
  <c r="AJ24" i="1"/>
  <c r="AO24" i="1" s="1"/>
  <c r="AQ24" i="1" s="1"/>
  <c r="AI24" i="1"/>
  <c r="AH24" i="1"/>
  <c r="AC24" i="1"/>
  <c r="AB24" i="1"/>
  <c r="AA24" i="1"/>
  <c r="Q24" i="1"/>
  <c r="L24" i="1"/>
  <c r="H24" i="1"/>
  <c r="AR23" i="1"/>
  <c r="AM23" i="1"/>
  <c r="AJ23" i="1"/>
  <c r="AI23" i="1"/>
  <c r="AH23" i="1"/>
  <c r="AF23" i="1"/>
  <c r="AC23" i="1"/>
  <c r="AB23" i="1"/>
  <c r="AA23" i="1"/>
  <c r="H23" i="1"/>
  <c r="AR22" i="1"/>
  <c r="AJ22" i="1"/>
  <c r="AI22" i="1"/>
  <c r="AH22" i="1"/>
  <c r="AC22" i="1"/>
  <c r="AB22" i="1"/>
  <c r="AA22" i="1"/>
  <c r="H22" i="1"/>
  <c r="AR21" i="1"/>
  <c r="AJ21" i="1"/>
  <c r="AI21" i="1"/>
  <c r="AH21" i="1"/>
  <c r="AC21" i="1"/>
  <c r="AB21" i="1"/>
  <c r="AA21" i="1"/>
  <c r="H21" i="1"/>
  <c r="AR20" i="1"/>
  <c r="AJ20" i="1"/>
  <c r="AI20" i="1"/>
  <c r="AH20" i="1"/>
  <c r="AC20" i="1"/>
  <c r="AB20" i="1"/>
  <c r="AA20" i="1"/>
  <c r="H20" i="1"/>
  <c r="AR17" i="1"/>
  <c r="AQ17" i="1"/>
  <c r="AO17" i="1"/>
  <c r="AJ17" i="1"/>
  <c r="AI17" i="1"/>
  <c r="AH17" i="1"/>
  <c r="AC17" i="1"/>
  <c r="AB17" i="1"/>
  <c r="AA17" i="1"/>
  <c r="Q17" i="1"/>
  <c r="L17" i="1"/>
  <c r="H17" i="1"/>
  <c r="AR14" i="1"/>
  <c r="AQ14" i="1"/>
  <c r="AO14" i="1"/>
  <c r="AN14" i="1"/>
  <c r="AK14" i="1"/>
  <c r="AJ14" i="1"/>
  <c r="AI14" i="1"/>
  <c r="AH14" i="1"/>
  <c r="AG14" i="1"/>
  <c r="AD14" i="1"/>
  <c r="AC14" i="1"/>
  <c r="AB14" i="1"/>
  <c r="AA14" i="1"/>
  <c r="Q14" i="1"/>
  <c r="L14" i="1"/>
  <c r="H14" i="1"/>
  <c r="AR11" i="1"/>
  <c r="AG11" i="1"/>
  <c r="AN11" i="1" s="1"/>
  <c r="AD11" i="1"/>
  <c r="AK11" i="1" s="1"/>
  <c r="AC11" i="1"/>
  <c r="AJ11" i="1" s="1"/>
  <c r="AB11" i="1"/>
  <c r="AI11" i="1" s="1"/>
  <c r="AA11" i="1"/>
  <c r="AH11" i="1" s="1"/>
  <c r="Q11" i="1"/>
  <c r="L11" i="1"/>
  <c r="H11" i="1"/>
  <c r="AO74" i="1" l="1"/>
  <c r="AQ62" i="1"/>
  <c r="AO96" i="1"/>
  <c r="AQ75" i="1"/>
  <c r="AQ96" i="1" s="1"/>
  <c r="AO36" i="1"/>
  <c r="AQ36" i="1" s="1"/>
  <c r="AO30" i="1"/>
  <c r="AQ30" i="1" s="1"/>
  <c r="AO27" i="1"/>
  <c r="AQ27" i="1" s="1"/>
  <c r="AQ11" i="1"/>
  <c r="AP97" i="1"/>
  <c r="H74" i="1"/>
  <c r="H97" i="1" s="1"/>
  <c r="J97" i="1" s="1"/>
  <c r="AQ22" i="1"/>
  <c r="L61" i="1"/>
  <c r="L97" i="1" s="1"/>
  <c r="N97" i="1" s="1"/>
  <c r="AQ23" i="1"/>
  <c r="Q61" i="1"/>
  <c r="Q97" i="1" s="1"/>
  <c r="S97" i="1" s="1"/>
  <c r="AQ74" i="1"/>
  <c r="AQ45" i="1"/>
  <c r="AR61" i="1"/>
  <c r="AR97" i="1" s="1"/>
  <c r="AO33" i="1"/>
  <c r="AQ33" i="1" s="1"/>
  <c r="AQ20" i="1"/>
  <c r="AO61" i="1" l="1"/>
  <c r="AO97" i="1" s="1"/>
  <c r="AM97" i="1" s="1"/>
  <c r="AQ61" i="1"/>
  <c r="AQ97" i="1" l="1"/>
  <c r="AS9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Etiemana Isang</author>
  </authors>
  <commentList>
    <comment ref="AS97" authorId="0" shapeId="0" xr:uid="{00000000-0006-0000-0000-000002000000}">
      <text>
        <r>
          <rPr>
            <b/>
            <sz val="14"/>
            <rFont val="Tahoma"/>
            <family val="2"/>
          </rPr>
          <t>Etiemana Isang:</t>
        </r>
        <r>
          <rPr>
            <sz val="14"/>
            <rFont val="Tahoma"/>
            <family val="2"/>
          </rPr>
          <t xml:space="preserve">
Q2 FY24 DQA % Score</t>
        </r>
      </text>
    </comment>
  </commentList>
</comments>
</file>

<file path=xl/sharedStrings.xml><?xml version="1.0" encoding="utf-8"?>
<sst xmlns="http://schemas.openxmlformats.org/spreadsheetml/2006/main" count="195" uniqueCount="181">
  <si>
    <t>Site-level Data Validation and Verification Report  [Data Quality Assurance (DQA) Tool]</t>
  </si>
  <si>
    <t>State</t>
  </si>
  <si>
    <t>Local Government Area</t>
  </si>
  <si>
    <t>Name of Facility</t>
  </si>
  <si>
    <t>Obubra Maternal and Child Health Clinic</t>
  </si>
  <si>
    <t>Date of DQA</t>
  </si>
  <si>
    <t>Review Quarter</t>
  </si>
  <si>
    <t>FY26 Q1</t>
  </si>
  <si>
    <t xml:space="preserve">Assessment Components </t>
  </si>
  <si>
    <r>
      <rPr>
        <b/>
        <sz val="11"/>
        <color theme="0"/>
        <rFont val="Aptos Narrow"/>
        <family val="2"/>
        <scheme val="minor"/>
      </rPr>
      <t xml:space="preserve">AVAILABILITY
 (Summary Form &amp; Registers)
</t>
    </r>
    <r>
      <rPr>
        <sz val="11"/>
        <color theme="0"/>
        <rFont val="Aptos Narrow"/>
        <family val="2"/>
        <scheme val="minor"/>
      </rPr>
      <t xml:space="preserve">Available &amp; Sighted | Completely filed out | Duly signed- Score '2'
Not available | Incompletely filled | Incomplete sign off - Score '0'
</t>
    </r>
  </si>
  <si>
    <r>
      <rPr>
        <b/>
        <sz val="11"/>
        <color theme="0"/>
        <rFont val="Aptos Narrow"/>
        <family val="2"/>
        <scheme val="minor"/>
      </rPr>
      <t xml:space="preserve">INTEGRITY
</t>
    </r>
    <r>
      <rPr>
        <sz val="11"/>
        <color theme="0"/>
        <rFont val="Aptos Narrow"/>
        <family val="2"/>
        <scheme val="minor"/>
      </rPr>
      <t>Alterations sighted - Score '0'
No Alterations - Score '2'</t>
    </r>
  </si>
  <si>
    <r>
      <rPr>
        <b/>
        <sz val="11"/>
        <color theme="1"/>
        <rFont val="Aptos Narrow"/>
        <family val="2"/>
        <scheme val="minor"/>
      </rPr>
      <t xml:space="preserve">CONSISTENCY 
(Source documents Vs. Register)
</t>
    </r>
    <r>
      <rPr>
        <sz val="11"/>
        <color theme="1"/>
        <rFont val="Aptos Narrow"/>
        <family val="2"/>
        <scheme val="minor"/>
      </rPr>
      <t>Randomly selected 5 folders/forms , review transcription of Unique ID, Age/Sex &amp; Result/Regimen/ART Status. Scoring is between 1-5 based on the number of folder/form correctly transcribed from folder/form to Register</t>
    </r>
  </si>
  <si>
    <t xml:space="preserve">VALIDITY
</t>
  </si>
  <si>
    <t>TOTALS</t>
  </si>
  <si>
    <t xml:space="preserve">Summary of Identified Issues </t>
  </si>
  <si>
    <t>Action items to strengthen data quality</t>
  </si>
  <si>
    <t>a. If the ratio of verified to reported counts is &lt; 95%, the reporting is categorized as over-reporting. 
b. If the ratio is &gt;105% the reporting is categorized as under-reporting, or a situation where the assessment team verifies through examination of source documents that more services were delivered than was actually reported.
c. If the ratio falls between 95% - 105% then the reporting is categorized as consistent.
10-19% = 1; 20-29% = 2; 30-39% = 3; 40-49% = 4; 50-59% = 5; 60-69% = 6; 70-79% = 7; 80-89% = 8; 90-99% = 9; 100-105% = 10
Any score above 105% is not acceptable, the equivalent numeric score would then be “0”.</t>
  </si>
  <si>
    <t>Dataset</t>
  </si>
  <si>
    <t>Indicator</t>
  </si>
  <si>
    <t>Available</t>
  </si>
  <si>
    <t>Completely fillied out</t>
  </si>
  <si>
    <t>Duly Signed</t>
  </si>
  <si>
    <t xml:space="preserve"> Score </t>
  </si>
  <si>
    <t xml:space="preserve">Max. Score </t>
  </si>
  <si>
    <t>Alterations on Summary Forms</t>
  </si>
  <si>
    <t>Alterations on Register</t>
  </si>
  <si>
    <t>Unique ID</t>
  </si>
  <si>
    <t>Age &amp; Sex</t>
  </si>
  <si>
    <t>Result/Regimen/ART Status</t>
  </si>
  <si>
    <t>Register
(A)</t>
  </si>
  <si>
    <t xml:space="preserve">Facility MSF
(B) </t>
  </si>
  <si>
    <t>HFR Data
(C)</t>
  </si>
  <si>
    <t>LAMIS-EMR
(D)</t>
  </si>
  <si>
    <t>DHIS
(E)</t>
  </si>
  <si>
    <t>NDARS
(F)</t>
  </si>
  <si>
    <t>Pharmacy worksheet (G)</t>
  </si>
  <si>
    <r>
      <rPr>
        <b/>
        <sz val="11"/>
        <color theme="0"/>
        <rFont val="Aptos Narrow"/>
        <family val="2"/>
        <scheme val="minor"/>
      </rPr>
      <t xml:space="preserve">Related Lab worksheet: EID Lab Register </t>
    </r>
    <r>
      <rPr>
        <b/>
        <sz val="11"/>
        <color rgb="FFFFFF00"/>
        <rFont val="Aptos Narrow"/>
        <family val="2"/>
        <scheme val="minor"/>
      </rPr>
      <t xml:space="preserve">(H) </t>
    </r>
    <r>
      <rPr>
        <b/>
        <sz val="11"/>
        <color theme="0"/>
        <rFont val="Aptos Narrow"/>
        <family val="2"/>
        <scheme val="minor"/>
      </rPr>
      <t xml:space="preserve">OR Daily HIV Testing worksheet </t>
    </r>
    <r>
      <rPr>
        <b/>
        <sz val="11"/>
        <color rgb="FFFFFF00"/>
        <rFont val="Aptos Narrow"/>
        <family val="2"/>
        <scheme val="minor"/>
      </rPr>
      <t>(H)</t>
    </r>
  </si>
  <si>
    <t>% Agreement</t>
  </si>
  <si>
    <t>Score</t>
  </si>
  <si>
    <t xml:space="preserve">Total Score </t>
  </si>
  <si>
    <t xml:space="preserve">Total Max. Score </t>
  </si>
  <si>
    <t>A/E</t>
  </si>
  <si>
    <t>B/E</t>
  </si>
  <si>
    <t>C/E</t>
  </si>
  <si>
    <t>D/E</t>
  </si>
  <si>
    <t>F/E</t>
  </si>
  <si>
    <t>G/E</t>
  </si>
  <si>
    <t>H/E</t>
  </si>
  <si>
    <t>HTS_TST</t>
  </si>
  <si>
    <t>Number of individuals who received HIV Testing Services (HTS) and received their test results.</t>
  </si>
  <si>
    <t>The HIV Daily worksheet  was updated on site while conducting DQA</t>
  </si>
  <si>
    <t>HTS_TST_POS</t>
  </si>
  <si>
    <t>Number of individuals who tested HIV positive and received their results</t>
  </si>
  <si>
    <t>HTS_SELF</t>
  </si>
  <si>
    <t>Number of Individual HIV self test kits distributed</t>
  </si>
  <si>
    <t>POST_RESP</t>
  </si>
  <si>
    <t>Number of persons receiving clinical care for Physical/Emotional violence</t>
  </si>
  <si>
    <t>Number of persons receiving clinical care for sexual violence</t>
  </si>
  <si>
    <t>Number of persons receiving clincical care for sexual violence_Eligible for PEP</t>
  </si>
  <si>
    <t>Number of persons receiving clinical care for sexual violence_Started on PEP</t>
  </si>
  <si>
    <t>PMTCT_STAT Denominator</t>
  </si>
  <si>
    <t>Number of new ANC clients in reporting period</t>
  </si>
  <si>
    <t>PMTCT_STAT Numerator</t>
  </si>
  <si>
    <r>
      <rPr>
        <sz val="12"/>
        <rFont val="Aptos Narrow"/>
        <family val="2"/>
        <scheme val="minor"/>
      </rPr>
      <t>Number of pregnant women with known HIV status at antenatal care (</t>
    </r>
    <r>
      <rPr>
        <sz val="12"/>
        <color rgb="FFC00000"/>
        <rFont val="Aptos Narrow"/>
        <family val="2"/>
        <scheme val="minor"/>
      </rPr>
      <t xml:space="preserve">includes those who are newly tested HIV positive </t>
    </r>
    <r>
      <rPr>
        <sz val="12"/>
        <rFont val="Aptos Narrow"/>
        <family val="2"/>
        <scheme val="minor"/>
      </rPr>
      <t xml:space="preserve">and </t>
    </r>
    <r>
      <rPr>
        <sz val="12"/>
        <color rgb="FFC00000"/>
        <rFont val="Aptos Narrow"/>
        <family val="2"/>
        <scheme val="minor"/>
      </rPr>
      <t>those who already knew their HIV status prior to ANC</t>
    </r>
    <r>
      <rPr>
        <sz val="12"/>
        <rFont val="Aptos Narrow"/>
        <family val="2"/>
        <scheme val="minor"/>
      </rPr>
      <t>)</t>
    </r>
  </si>
  <si>
    <t>PMTCT_STAT_POS</t>
  </si>
  <si>
    <t>Number of pregnant women with positive pregnancy status (New positive + Previously known positive) at first ANC</t>
  </si>
  <si>
    <t>PMTCT_ART (N)</t>
  </si>
  <si>
    <t>Number of HIV-positive pregnant women who received ART to reduce the risk of mother-to-child-transmission during pregnancy</t>
  </si>
  <si>
    <t>PMTCT_EID (N)</t>
  </si>
  <si>
    <t>Number of infants who had a first virologic HIV test (sample collected) within 12 months (&lt;72 hrs / 72 hrs - &lt;2 months / 2-12 months) of age during the reporting period</t>
  </si>
  <si>
    <t>PMTCT_HEI_NEG</t>
  </si>
  <si>
    <t>Number of infants of positive HIV pregnant women identified in the reporting period, whose diagnostic sample was collected by 12 months of age and returned with a negative DNA PCR result</t>
  </si>
  <si>
    <t>PMTCT_HEI_POS</t>
  </si>
  <si>
    <t>Number of HIV-infected infants identified in the reporting period, whose diagnostic sample was collected by 12 months of age.</t>
  </si>
  <si>
    <t xml:space="preserve">PMTCT_HEI_POS on ART </t>
  </si>
  <si>
    <t>HIV-infected infants (0-12 months) identified in the reporting period, linked to ART</t>
  </si>
  <si>
    <t>TB_STAT(N)</t>
  </si>
  <si>
    <t>The numerator can be generated by counting the number of new and relapsed TB cases with documented HIV test results during the reporting period.</t>
  </si>
  <si>
    <t>TB_STAT(D)</t>
  </si>
  <si>
    <t>The denominator can be generated by counting the number of new and relapsed TB cases during the reporting period.</t>
  </si>
  <si>
    <t>PrEP_NEW</t>
  </si>
  <si>
    <r>
      <rPr>
        <sz val="12"/>
        <rFont val="Aptos Narrow"/>
        <family val="2"/>
        <scheme val="minor"/>
      </rPr>
      <t xml:space="preserve">Number of </t>
    </r>
    <r>
      <rPr>
        <sz val="12"/>
        <color rgb="FFC00000"/>
        <rFont val="Aptos Narrow"/>
        <family val="2"/>
        <scheme val="minor"/>
      </rPr>
      <t>Pregnant and Breastfeeding women</t>
    </r>
    <r>
      <rPr>
        <sz val="12"/>
        <rFont val="Aptos Narrow"/>
        <family val="2"/>
        <scheme val="minor"/>
      </rPr>
      <t xml:space="preserve"> who were newly enrolled on pre-exposure prophylaxis (PrEP) to prevent HIV infection in the reporting period</t>
    </r>
  </si>
  <si>
    <t>PrEP_ CT</t>
  </si>
  <si>
    <r>
      <rPr>
        <sz val="12"/>
        <rFont val="Aptos Narrow"/>
        <family val="2"/>
        <scheme val="minor"/>
      </rPr>
      <t xml:space="preserve">Number of </t>
    </r>
    <r>
      <rPr>
        <sz val="12"/>
        <color rgb="FFC00000"/>
        <rFont val="Aptos Narrow"/>
        <family val="2"/>
        <scheme val="minor"/>
      </rPr>
      <t>Pregnant and Breastfeeding women</t>
    </r>
    <r>
      <rPr>
        <sz val="12"/>
        <rFont val="Aptos Narrow"/>
        <family val="2"/>
        <scheme val="minor"/>
      </rPr>
      <t xml:space="preserve"> excluding those newly enrolled, that returned for a follow up visit or reinitiation visit to receive PrEP to prevent HIV during the reporting period</t>
    </r>
  </si>
  <si>
    <t>TX_NEW</t>
  </si>
  <si>
    <t>Number of adults and children newly enrolled on antiretroviral therapy (ART)</t>
  </si>
  <si>
    <t>ARV Last Pick up date</t>
  </si>
  <si>
    <t xml:space="preserve">Months of ARV refill </t>
  </si>
  <si>
    <t>ART Status</t>
  </si>
  <si>
    <t>TX_CURR</t>
  </si>
  <si>
    <t>TX_CURR- Total number of people living with HIV who are currently receiving ART</t>
  </si>
  <si>
    <t>TX_RTT</t>
  </si>
  <si>
    <t>Number of ART patients who experienced an interruption in treatment (IIT) during any previous reporting period, who successfully restarted ARVs within the reporting period and remained on treatment until the end of the reporting period.</t>
  </si>
  <si>
    <t>Transfer_Ins</t>
  </si>
  <si>
    <t>Number of PLHIV who were transferred in during the reporting period</t>
  </si>
  <si>
    <t>TX_ML</t>
  </si>
  <si>
    <t>TX_ML _Died</t>
  </si>
  <si>
    <t xml:space="preserve">TX_ML _Stopped Treatment </t>
  </si>
  <si>
    <t>TX_ML _Transfers Out</t>
  </si>
  <si>
    <t>TX_ML _IIT (LTFU) &lt; 3months on ART</t>
  </si>
  <si>
    <t>TX_ML _IIT (LTFU) &gt; 3months on ART</t>
  </si>
  <si>
    <t>TX_PVLS (N)</t>
  </si>
  <si>
    <t xml:space="preserve">“Number of ART patients with suppressed VL results (&lt;1,000 copies/ml) documented in the medical or laboratory records/LIS within the past 12 months”. </t>
  </si>
  <si>
    <t>TX_PVLS (D)</t>
  </si>
  <si>
    <t xml:space="preserve">“Number of ART patients with a VL result documented in the medical or laboratory records/LIS within the past 12 months”. </t>
  </si>
  <si>
    <t>TX_TB_D</t>
  </si>
  <si>
    <t xml:space="preserve">Number of ART patients screened for TB in the semiannual reporting period </t>
  </si>
  <si>
    <t>TX_TB_N</t>
  </si>
  <si>
    <t>Number of ART patients screened for TB in the semiannual reporting period who starts TB treatment.</t>
  </si>
  <si>
    <t>TB_ART</t>
  </si>
  <si>
    <t>Number of TB cases with documented HIV_x0002_positive status who start or continue ART during the reporting period</t>
  </si>
  <si>
    <t>TB_PREV_D</t>
  </si>
  <si>
    <t xml:space="preserve">Number of ART patients who started on a standard course of TB Preventive Treatment (TPT) in the reporting period </t>
  </si>
  <si>
    <t>TB_PREV_N</t>
  </si>
  <si>
    <t>Number of ART patients who started on a standard course of TB Preventive Treatment (TPT) in the previous reporting period who completed therapy</t>
  </si>
  <si>
    <t>Total DQA Score:</t>
  </si>
  <si>
    <t>Facility FP:  Name_______________________________________  Designation: _____________________ Signature: ___________ Date: __________</t>
  </si>
  <si>
    <t>Akamkpa General Hospital</t>
  </si>
  <si>
    <t>Akani Esuk Health Centre</t>
  </si>
  <si>
    <t>Akpabuyo St Joseph Hospital</t>
  </si>
  <si>
    <t>Akpet Central Cottage Hospital</t>
  </si>
  <si>
    <t>Anantigha Primary Health Centre</t>
  </si>
  <si>
    <t>Anderson Primary Health Centre</t>
  </si>
  <si>
    <t>Aningeje Primary Health Centre</t>
  </si>
  <si>
    <t>Aya Medical Centre</t>
  </si>
  <si>
    <t>Bakor Medical centre</t>
  </si>
  <si>
    <t>Calabar General Hospital</t>
  </si>
  <si>
    <t>Calabar South Family Health Centre</t>
  </si>
  <si>
    <t>Calabar Women and Children Hospital</t>
  </si>
  <si>
    <t>County Specialist Hospital</t>
  </si>
  <si>
    <t>Cross River University of Science and Technology (CRUTECH) Medical Centre</t>
  </si>
  <si>
    <t>Diamond Hill Health Centre</t>
  </si>
  <si>
    <t>Dr Lawrence Henshaw Memorial Hospital</t>
  </si>
  <si>
    <t>Eja Memorial Hospital</t>
  </si>
  <si>
    <t>Ekana Medical Centre</t>
  </si>
  <si>
    <t>Ekorinim Health Centre</t>
  </si>
  <si>
    <t>Ekpo Abasi Primary Health Centre</t>
  </si>
  <si>
    <t>Ekpri Obutong Health Centre</t>
  </si>
  <si>
    <t>Emmanuel Infirmiry</t>
  </si>
  <si>
    <t>Essierebom Primary Health Centre</t>
  </si>
  <si>
    <t>Faith Foundation Clinic</t>
  </si>
  <si>
    <t>Goldie Clinic</t>
  </si>
  <si>
    <t>Henshaw Town Health Post</t>
  </si>
  <si>
    <t>Hiltop Healthcare Foundation</t>
  </si>
  <si>
    <t>Holy Family Catholic Hospital</t>
  </si>
  <si>
    <t>Igbo-Imabana Model Primary Health Centre</t>
  </si>
  <si>
    <t>Ikang Primary Health Centre</t>
  </si>
  <si>
    <t>Ikot Edem Odo Health Centre</t>
  </si>
  <si>
    <t>Ikot Effiong Otop Comprehensive Health Centre (UCTH Annex)</t>
  </si>
  <si>
    <t>Ikot Ekpo Health Centre (Ward 10)</t>
  </si>
  <si>
    <t>Ikot Enebong Health Post</t>
  </si>
  <si>
    <t>Ishie Health Post</t>
  </si>
  <si>
    <t>Kasuk Health Centre</t>
  </si>
  <si>
    <t>Katchuan Irruan Model PHC</t>
  </si>
  <si>
    <t>Mambo Clinic</t>
  </si>
  <si>
    <t>Melrose Hospital</t>
  </si>
  <si>
    <t>Mfamosing Primary Health Center</t>
  </si>
  <si>
    <t>Mma Efa Health Centre</t>
  </si>
  <si>
    <t>Mount Zion Medical Centre</t>
  </si>
  <si>
    <t>Nyahasang Health Centre</t>
  </si>
  <si>
    <t>Oba Comprehensive Health Centre</t>
  </si>
  <si>
    <t>Oban Health Centre</t>
  </si>
  <si>
    <t>Obanliku General Hospital</t>
  </si>
  <si>
    <t>Obubra General Hospital</t>
  </si>
  <si>
    <t>Obudu Clinic</t>
  </si>
  <si>
    <t>Obudu Urban1 Primary Health Centre</t>
  </si>
  <si>
    <t>Ogoja Catholic Maternity Hospital</t>
  </si>
  <si>
    <t>Ogoja General Hospital</t>
  </si>
  <si>
    <t>Ogoja Santa Maria Clinic</t>
  </si>
  <si>
    <t>Okpoma General Hospital</t>
  </si>
  <si>
    <t>Okundi Comprehensive Health Centre</t>
  </si>
  <si>
    <t>Peace medical centre</t>
  </si>
  <si>
    <t>Police Hospital</t>
  </si>
  <si>
    <t>Sacred Heart Catholic Hospital</t>
  </si>
  <si>
    <t>Ugep General Hospital</t>
  </si>
  <si>
    <t>Ukpem General Hospital</t>
  </si>
  <si>
    <t>University of Calabar Medical Centre</t>
  </si>
  <si>
    <t>University of Calabar Teaching Hospital</t>
  </si>
  <si>
    <t>Wanihem Comprehensive Health Centre</t>
  </si>
  <si>
    <t>Yala Lutheran Hospital</t>
  </si>
  <si>
    <t>Completed by:  Name____Willy Egomo__________________________________  Designation: ______TO-M&amp;E____________ Signature: ___________ Date:13/1/2026 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</si>
</sst>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Aptos Narrow"/>
      <charset val="134"/>
      <scheme val="minor"/>
    </font>
    <font>
      <sz val="11"/>
      <color theme="1"/>
      <name val="Aptos Narrow"/>
      <family val="2"/>
      <scheme val="minor"/>
    </font>
    <font>
      <sz val="10"/>
      <color theme="1"/>
      <name val="Aptos Narrow"/>
      <family val="2"/>
      <scheme val="minor"/>
    </font>
    <font>
      <b/>
      <sz val="12"/>
      <color theme="0"/>
      <name val="Aptos Narrow"/>
      <family val="2"/>
      <scheme val="minor"/>
    </font>
    <font>
      <b/>
      <sz val="10"/>
      <color theme="1"/>
      <name val="Aptos Narrow"/>
      <family val="2"/>
      <scheme val="minor"/>
    </font>
    <font>
      <sz val="18"/>
      <name val="Aptos Narrow"/>
      <family val="2"/>
      <scheme val="minor"/>
    </font>
    <font>
      <sz val="11"/>
      <color theme="1"/>
      <name val="Aptos Narrow"/>
      <family val="2"/>
      <scheme val="minor"/>
    </font>
    <font>
      <b/>
      <sz val="18"/>
      <color theme="0"/>
      <name val="Aptos Narrow"/>
      <family val="2"/>
      <scheme val="minor"/>
    </font>
    <font>
      <b/>
      <sz val="25"/>
      <color theme="0"/>
      <name val="Aptos Narrow"/>
      <family val="2"/>
      <scheme val="minor"/>
    </font>
    <font>
      <b/>
      <sz val="15"/>
      <color theme="1"/>
      <name val="Aptos Narrow"/>
      <family val="2"/>
      <scheme val="minor"/>
    </font>
    <font>
      <b/>
      <sz val="16"/>
      <color theme="1"/>
      <name val="Aptos Narrow"/>
      <family val="2"/>
      <scheme val="minor"/>
    </font>
    <font>
      <b/>
      <sz val="11"/>
      <color theme="0"/>
      <name val="Aptos Narrow"/>
      <family val="2"/>
      <scheme val="minor"/>
    </font>
    <font>
      <b/>
      <sz val="14"/>
      <name val="Aptos Narrow"/>
      <family val="2"/>
      <scheme val="minor"/>
    </font>
    <font>
      <b/>
      <sz val="12"/>
      <name val="Aptos Narrow"/>
      <family val="2"/>
      <scheme val="minor"/>
    </font>
    <font>
      <sz val="12"/>
      <name val="Aptos Narrow"/>
      <family val="2"/>
      <scheme val="minor"/>
    </font>
    <font>
      <b/>
      <sz val="12"/>
      <color theme="1"/>
      <name val="Aptos Narrow"/>
      <family val="2"/>
      <scheme val="minor"/>
    </font>
    <font>
      <b/>
      <sz val="11"/>
      <color theme="1"/>
      <name val="Aptos Narrow"/>
      <family val="2"/>
      <scheme val="minor"/>
    </font>
    <font>
      <b/>
      <i/>
      <sz val="8"/>
      <color rgb="FFFF0000"/>
      <name val="Aptos Narrow"/>
      <family val="2"/>
      <scheme val="minor"/>
    </font>
    <font>
      <b/>
      <sz val="13"/>
      <color theme="0"/>
      <name val="Aptos Narrow"/>
      <family val="2"/>
      <scheme val="minor"/>
    </font>
    <font>
      <sz val="12"/>
      <color theme="0"/>
      <name val="Aptos Narrow"/>
      <family val="2"/>
      <scheme val="minor"/>
    </font>
    <font>
      <b/>
      <sz val="10"/>
      <name val="Aptos Narrow"/>
      <family val="2"/>
      <scheme val="minor"/>
    </font>
    <font>
      <sz val="11"/>
      <color rgb="FF000000"/>
      <name val="Calibri"/>
      <family val="2"/>
    </font>
    <font>
      <sz val="12"/>
      <color theme="1"/>
      <name val="Aptos Narrow"/>
      <family val="2"/>
      <scheme val="minor"/>
    </font>
    <font>
      <sz val="11"/>
      <color theme="0"/>
      <name val="Aptos Narrow"/>
      <family val="2"/>
      <scheme val="minor"/>
    </font>
    <font>
      <b/>
      <sz val="10"/>
      <color theme="0"/>
      <name val="Aptos Narrow"/>
      <family val="2"/>
      <scheme val="minor"/>
    </font>
    <font>
      <b/>
      <sz val="14"/>
      <color theme="0"/>
      <name val="Aptos Narrow"/>
      <family val="2"/>
      <scheme val="minor"/>
    </font>
    <font>
      <b/>
      <sz val="16"/>
      <name val="Aptos Narrow"/>
      <family val="2"/>
      <scheme val="minor"/>
    </font>
    <font>
      <b/>
      <sz val="22"/>
      <color indexed="8"/>
      <name val="Aptos Narrow"/>
      <family val="2"/>
      <scheme val="minor"/>
    </font>
    <font>
      <b/>
      <i/>
      <sz val="12"/>
      <color rgb="FFFF0000"/>
      <name val="Aptos Narrow"/>
      <family val="2"/>
      <scheme val="minor"/>
    </font>
    <font>
      <sz val="22"/>
      <color theme="1"/>
      <name val="Aptos Narrow"/>
      <family val="2"/>
      <scheme val="minor"/>
    </font>
    <font>
      <b/>
      <sz val="20"/>
      <name val="Aptos Narrow"/>
      <family val="2"/>
      <scheme val="minor"/>
    </font>
    <font>
      <b/>
      <sz val="11"/>
      <name val="Aptos Narrow"/>
      <family val="2"/>
      <scheme val="minor"/>
    </font>
    <font>
      <sz val="12"/>
      <color rgb="FFC00000"/>
      <name val="Aptos Narrow"/>
      <family val="2"/>
      <scheme val="minor"/>
    </font>
    <font>
      <b/>
      <sz val="11"/>
      <color rgb="FFFFFF00"/>
      <name val="Aptos Narrow"/>
      <family val="2"/>
      <scheme val="minor"/>
    </font>
    <font>
      <b/>
      <sz val="14"/>
      <name val="Tahoma"/>
      <family val="2"/>
    </font>
    <font>
      <sz val="14"/>
      <name val="Tahoma"/>
      <family val="2"/>
    </font>
  </fonts>
  <fills count="15">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rgb="FF51154A"/>
        <bgColor indexed="64"/>
      </patternFill>
    </fill>
    <fill>
      <patternFill patternType="solid">
        <fgColor rgb="FF247B84"/>
        <bgColor indexed="64"/>
      </patternFill>
    </fill>
    <fill>
      <patternFill patternType="solid">
        <fgColor rgb="FFC7EBEF"/>
        <bgColor indexed="64"/>
      </patternFill>
    </fill>
    <fill>
      <patternFill patternType="solid">
        <fgColor rgb="FFD4F5CF"/>
        <bgColor indexed="64"/>
      </patternFill>
    </fill>
    <fill>
      <patternFill patternType="solid">
        <fgColor theme="8" tint="0.79992065187536243"/>
        <bgColor indexed="64"/>
      </patternFill>
    </fill>
    <fill>
      <patternFill patternType="solid">
        <fgColor theme="1" tint="0.249977111117893"/>
        <bgColor indexed="64"/>
      </patternFill>
    </fill>
    <fill>
      <patternFill patternType="solid">
        <fgColor theme="2" tint="-0.749992370372631"/>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rgb="FF217078"/>
        <bgColor indexed="64"/>
      </patternFill>
    </fill>
    <fill>
      <patternFill patternType="solid">
        <fgColor rgb="FFFFFF00"/>
        <bgColor indexed="64"/>
      </patternFill>
    </fill>
  </fills>
  <borders count="84">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top style="medium">
        <color auto="1"/>
      </top>
      <bottom/>
      <diagonal/>
    </border>
    <border>
      <left/>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style="medium">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thin">
        <color auto="1"/>
      </right>
      <top/>
      <bottom/>
      <diagonal/>
    </border>
    <border>
      <left style="thin">
        <color auto="1"/>
      </left>
      <right/>
      <top/>
      <bottom/>
      <diagonal/>
    </border>
    <border>
      <left style="medium">
        <color auto="1"/>
      </left>
      <right/>
      <top style="medium">
        <color auto="1"/>
      </top>
      <bottom style="medium">
        <color auto="1"/>
      </bottom>
      <diagonal/>
    </border>
    <border>
      <left style="medium">
        <color auto="1"/>
      </left>
      <right style="medium">
        <color auto="1"/>
      </right>
      <top/>
      <bottom style="medium">
        <color auto="1"/>
      </bottom>
      <diagonal/>
    </border>
    <border>
      <left/>
      <right/>
      <top style="medium">
        <color auto="1"/>
      </top>
      <bottom style="medium">
        <color auto="1"/>
      </bottom>
      <diagonal/>
    </border>
    <border>
      <left style="thin">
        <color rgb="FFC0453C"/>
      </left>
      <right/>
      <top/>
      <bottom style="medium">
        <color auto="1"/>
      </bottom>
      <diagonal/>
    </border>
    <border>
      <left style="medium">
        <color rgb="FFC0453C"/>
      </left>
      <right style="medium">
        <color rgb="FFC0453C"/>
      </right>
      <top/>
      <bottom style="medium">
        <color rgb="FFC0453C"/>
      </bottom>
      <diagonal/>
    </border>
    <border>
      <left/>
      <right style="medium">
        <color auto="1"/>
      </right>
      <top/>
      <bottom/>
      <diagonal/>
    </border>
    <border>
      <left/>
      <right style="medium">
        <color auto="1"/>
      </right>
      <top/>
      <bottom style="medium">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diagonal/>
    </border>
    <border>
      <left style="thin">
        <color auto="1"/>
      </left>
      <right/>
      <top style="thin">
        <color auto="1"/>
      </top>
      <bottom/>
      <diagonal/>
    </border>
    <border>
      <left/>
      <right style="medium">
        <color auto="1"/>
      </right>
      <top style="medium">
        <color auto="1"/>
      </top>
      <bottom style="medium">
        <color auto="1"/>
      </bottom>
      <diagonal/>
    </border>
    <border>
      <left/>
      <right style="medium">
        <color auto="1"/>
      </right>
      <top style="medium">
        <color auto="1"/>
      </top>
      <bottom/>
      <diagonal/>
    </border>
    <border>
      <left style="medium">
        <color rgb="FFC0453C"/>
      </left>
      <right style="medium">
        <color rgb="FFC0453C"/>
      </right>
      <top style="medium">
        <color rgb="FFC0453C"/>
      </top>
      <bottom style="medium">
        <color rgb="FFC0453C"/>
      </bottom>
      <diagonal/>
    </border>
    <border>
      <left style="medium">
        <color rgb="FFC0453C"/>
      </left>
      <right/>
      <top style="medium">
        <color auto="1"/>
      </top>
      <bottom style="medium">
        <color auto="1"/>
      </bottom>
      <diagonal/>
    </border>
    <border>
      <left/>
      <right style="thin">
        <color auto="1"/>
      </right>
      <top/>
      <bottom/>
      <diagonal/>
    </border>
    <border>
      <left style="thin">
        <color auto="1"/>
      </left>
      <right style="medium">
        <color auto="1"/>
      </right>
      <top/>
      <bottom/>
      <diagonal/>
    </border>
    <border>
      <left style="medium">
        <color auto="1"/>
      </left>
      <right/>
      <top/>
      <bottom style="thin">
        <color auto="1"/>
      </bottom>
      <diagonal/>
    </border>
    <border>
      <left/>
      <right/>
      <top/>
      <bottom style="thin">
        <color auto="1"/>
      </bottom>
      <diagonal/>
    </border>
    <border>
      <left style="thin">
        <color auto="1"/>
      </left>
      <right style="thin">
        <color auto="1"/>
      </right>
      <top/>
      <bottom style="medium">
        <color auto="1"/>
      </bottom>
      <diagonal/>
    </border>
    <border diagonalUp="1" diagonalDown="1">
      <left style="medium">
        <color auto="1"/>
      </left>
      <right style="medium">
        <color auto="1"/>
      </right>
      <top style="medium">
        <color auto="1"/>
      </top>
      <bottom/>
      <diagonal style="medium">
        <color auto="1"/>
      </diagonal>
    </border>
    <border diagonalUp="1" diagonalDown="1">
      <left style="medium">
        <color auto="1"/>
      </left>
      <right style="medium">
        <color auto="1"/>
      </right>
      <top/>
      <bottom/>
      <diagonal style="medium">
        <color auto="1"/>
      </diagonal>
    </border>
    <border diagonalUp="1" diagonalDown="1">
      <left style="medium">
        <color auto="1"/>
      </left>
      <right style="medium">
        <color auto="1"/>
      </right>
      <top/>
      <bottom style="medium">
        <color auto="1"/>
      </bottom>
      <diagonal style="medium">
        <color auto="1"/>
      </diagonal>
    </border>
    <border diagonalUp="1" diagonalDown="1">
      <left/>
      <right style="medium">
        <color auto="1"/>
      </right>
      <top style="medium">
        <color auto="1"/>
      </top>
      <bottom/>
      <diagonal style="thin">
        <color auto="1"/>
      </diagonal>
    </border>
    <border diagonalUp="1" diagonalDown="1">
      <left style="medium">
        <color auto="1"/>
      </left>
      <right style="medium">
        <color auto="1"/>
      </right>
      <top style="medium">
        <color auto="1"/>
      </top>
      <bottom/>
      <diagonal style="thin">
        <color auto="1"/>
      </diagonal>
    </border>
    <border diagonalUp="1" diagonalDown="1">
      <left/>
      <right style="medium">
        <color auto="1"/>
      </right>
      <top/>
      <bottom/>
      <diagonal style="thin">
        <color auto="1"/>
      </diagonal>
    </border>
    <border diagonalUp="1" diagonalDown="1">
      <left style="medium">
        <color auto="1"/>
      </left>
      <right style="medium">
        <color auto="1"/>
      </right>
      <top/>
      <bottom/>
      <diagonal style="thin">
        <color auto="1"/>
      </diagonal>
    </border>
    <border diagonalUp="1" diagonalDown="1">
      <left/>
      <right style="medium">
        <color auto="1"/>
      </right>
      <top/>
      <bottom style="medium">
        <color auto="1"/>
      </bottom>
      <diagonal style="thin">
        <color auto="1"/>
      </diagonal>
    </border>
    <border diagonalUp="1" diagonalDown="1">
      <left style="medium">
        <color auto="1"/>
      </left>
      <right style="medium">
        <color auto="1"/>
      </right>
      <top/>
      <bottom style="medium">
        <color auto="1"/>
      </bottom>
      <diagonal style="thin">
        <color auto="1"/>
      </diagonal>
    </border>
    <border diagonalUp="1" diagonalDown="1">
      <left style="medium">
        <color auto="1"/>
      </left>
      <right style="medium">
        <color auto="1"/>
      </right>
      <top style="medium">
        <color auto="1"/>
      </top>
      <bottom style="medium">
        <color auto="1"/>
      </bottom>
      <diagonal style="thin">
        <color auto="1"/>
      </diagonal>
    </border>
    <border>
      <left style="medium">
        <color rgb="FFC0453C"/>
      </left>
      <right/>
      <top/>
      <bottom style="medium">
        <color auto="1"/>
      </bottom>
      <diagonal/>
    </border>
    <border>
      <left/>
      <right/>
      <top style="thin">
        <color auto="1"/>
      </top>
      <bottom/>
      <diagonal/>
    </border>
    <border>
      <left style="thin">
        <color auto="1"/>
      </left>
      <right/>
      <top/>
      <bottom style="thin">
        <color auto="1"/>
      </bottom>
      <diagonal/>
    </border>
    <border diagonalUp="1" diagonalDown="1">
      <left/>
      <right style="medium">
        <color auto="1"/>
      </right>
      <top style="medium">
        <color auto="1"/>
      </top>
      <bottom style="medium">
        <color auto="1"/>
      </bottom>
      <diagonal style="thin">
        <color auto="1"/>
      </diagonal>
    </border>
    <border>
      <left/>
      <right style="thin">
        <color auto="1"/>
      </right>
      <top/>
      <bottom style="thin">
        <color auto="1"/>
      </bottom>
      <diagonal/>
    </border>
    <border diagonalUp="1" diagonalDown="1">
      <left style="medium">
        <color auto="1"/>
      </left>
      <right style="medium">
        <color auto="1"/>
      </right>
      <top style="thin">
        <color auto="1"/>
      </top>
      <bottom style="medium">
        <color auto="1"/>
      </bottom>
      <diagonal style="thin">
        <color auto="1"/>
      </diagonal>
    </border>
    <border diagonalUp="1" diagonalDown="1">
      <left style="medium">
        <color auto="1"/>
      </left>
      <right style="medium">
        <color auto="1"/>
      </right>
      <top style="thin">
        <color auto="1"/>
      </top>
      <bottom/>
      <diagonal style="thin">
        <color auto="1"/>
      </diagonal>
    </border>
    <border>
      <left/>
      <right style="medium">
        <color auto="1"/>
      </right>
      <top/>
      <bottom style="thin">
        <color auto="1"/>
      </bottom>
      <diagonal/>
    </border>
    <border>
      <left style="thin">
        <color auto="1"/>
      </left>
      <right style="medium">
        <color auto="1"/>
      </right>
      <top style="thin">
        <color auto="1"/>
      </top>
      <bottom style="thin">
        <color theme="0" tint="-0.34998626667073579"/>
      </bottom>
      <diagonal/>
    </border>
    <border>
      <left style="thin">
        <color auto="1"/>
      </left>
      <right style="medium">
        <color auto="1"/>
      </right>
      <top style="medium">
        <color auto="1"/>
      </top>
      <bottom style="thin">
        <color theme="0" tint="-0.34998626667073579"/>
      </bottom>
      <diagonal/>
    </border>
    <border>
      <left style="thin">
        <color auto="1"/>
      </left>
      <right style="medium">
        <color auto="1"/>
      </right>
      <top style="thin">
        <color theme="0" tint="-0.34998626667073579"/>
      </top>
      <bottom style="thin">
        <color theme="0" tint="-0.34998626667073579"/>
      </bottom>
      <diagonal/>
    </border>
    <border>
      <left style="thin">
        <color auto="1"/>
      </left>
      <right style="medium">
        <color auto="1"/>
      </right>
      <top style="thin">
        <color theme="0" tint="-0.34998626667073579"/>
      </top>
      <bottom/>
      <diagonal/>
    </border>
    <border>
      <left style="medium">
        <color auto="1"/>
      </left>
      <right style="medium">
        <color auto="1"/>
      </right>
      <top/>
      <bottom style="medium">
        <color rgb="FFC0453C"/>
      </bottom>
      <diagonal/>
    </border>
    <border>
      <left style="medium">
        <color auto="1"/>
      </left>
      <right style="medium">
        <color auto="1"/>
      </right>
      <top/>
      <bottom style="thin">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top style="medium">
        <color auto="1"/>
      </top>
      <bottom style="dashed">
        <color auto="1"/>
      </bottom>
      <diagonal/>
    </border>
    <border>
      <left style="medium">
        <color auto="1"/>
      </left>
      <right style="medium">
        <color auto="1"/>
      </right>
      <top style="thin">
        <color auto="1"/>
      </top>
      <bottom style="thin">
        <color auto="1"/>
      </bottom>
      <diagonal/>
    </border>
    <border>
      <left style="medium">
        <color auto="1"/>
      </left>
      <right style="dashed">
        <color auto="1"/>
      </right>
      <top style="dashed">
        <color auto="1"/>
      </top>
      <bottom style="dashed">
        <color auto="1"/>
      </bottom>
      <diagonal/>
    </border>
    <border>
      <left style="medium">
        <color auto="1"/>
      </left>
      <right style="medium">
        <color auto="1"/>
      </right>
      <top style="thin">
        <color auto="1"/>
      </top>
      <bottom style="medium">
        <color auto="1"/>
      </bottom>
      <diagonal/>
    </border>
    <border>
      <left style="medium">
        <color auto="1"/>
      </left>
      <right style="dashed">
        <color auto="1"/>
      </right>
      <top style="dashed">
        <color auto="1"/>
      </top>
      <bottom style="medium">
        <color auto="1"/>
      </bottom>
      <diagonal/>
    </border>
    <border>
      <left/>
      <right style="dashed">
        <color auto="1"/>
      </right>
      <top style="medium">
        <color auto="1"/>
      </top>
      <bottom style="dashed">
        <color auto="1"/>
      </bottom>
      <diagonal/>
    </border>
    <border>
      <left style="medium">
        <color auto="1"/>
      </left>
      <right/>
      <top style="medium">
        <color auto="1"/>
      </top>
      <bottom style="dashed">
        <color auto="1"/>
      </bottom>
      <diagonal/>
    </border>
    <border>
      <left style="medium">
        <color auto="1"/>
      </left>
      <right style="medium">
        <color auto="1"/>
      </right>
      <top style="medium">
        <color auto="1"/>
      </top>
      <bottom style="dashed">
        <color auto="1"/>
      </bottom>
      <diagonal/>
    </border>
    <border diagonalUp="1" diagonalDown="1">
      <left style="medium">
        <color auto="1"/>
      </left>
      <right style="medium">
        <color auto="1"/>
      </right>
      <top style="medium">
        <color auto="1"/>
      </top>
      <bottom style="dashed">
        <color auto="1"/>
      </bottom>
      <diagonal style="thin">
        <color auto="1"/>
      </diagonal>
    </border>
    <border>
      <left style="medium">
        <color auto="1"/>
      </left>
      <right style="medium">
        <color auto="1"/>
      </right>
      <top style="medium">
        <color auto="1"/>
      </top>
      <bottom style="thin">
        <color auto="1"/>
      </bottom>
      <diagonal/>
    </border>
    <border diagonalUp="1" diagonalDown="1">
      <left style="medium">
        <color auto="1"/>
      </left>
      <right style="medium">
        <color auto="1"/>
      </right>
      <top style="medium">
        <color auto="1"/>
      </top>
      <bottom style="medium">
        <color auto="1"/>
      </bottom>
      <diagonal style="dashed">
        <color auto="1"/>
      </diagonal>
    </border>
    <border diagonalUp="1" diagonalDown="1">
      <left/>
      <right style="dashed">
        <color auto="1"/>
      </right>
      <top style="medium">
        <color auto="1"/>
      </top>
      <bottom style="medium">
        <color auto="1"/>
      </bottom>
      <diagonal style="dashed">
        <color auto="1"/>
      </diagonal>
    </border>
    <border diagonalUp="1" diagonalDown="1">
      <left style="dashed">
        <color auto="1"/>
      </left>
      <right style="dashed">
        <color auto="1"/>
      </right>
      <top style="medium">
        <color auto="1"/>
      </top>
      <bottom style="dashed">
        <color auto="1"/>
      </bottom>
      <diagonal style="thin">
        <color auto="1"/>
      </diagonal>
    </border>
    <border diagonalUp="1" diagonalDown="1">
      <left style="medium">
        <color auto="1"/>
      </left>
      <right style="medium">
        <color auto="1"/>
      </right>
      <top/>
      <bottom style="thin">
        <color auto="1"/>
      </bottom>
      <diagonal style="thin">
        <color auto="1"/>
      </diagonal>
    </border>
  </borders>
  <cellStyleXfs count="4">
    <xf numFmtId="0" fontId="0" fillId="0" borderId="0"/>
    <xf numFmtId="9" fontId="6" fillId="0" borderId="0" applyFont="0" applyFill="0" applyBorder="0" applyAlignment="0" applyProtection="0"/>
    <xf numFmtId="0" fontId="6" fillId="0" borderId="0"/>
    <xf numFmtId="9" fontId="6" fillId="0" borderId="0" applyFont="0" applyFill="0" applyBorder="0" applyAlignment="0" applyProtection="0"/>
  </cellStyleXfs>
  <cellXfs count="441">
    <xf numFmtId="0" fontId="0" fillId="0" borderId="0" xfId="0"/>
    <xf numFmtId="0" fontId="5" fillId="2" borderId="0" xfId="0" applyFont="1" applyFill="1" applyProtection="1">
      <protection locked="0"/>
    </xf>
    <xf numFmtId="0" fontId="6" fillId="2" borderId="0" xfId="0" applyFont="1" applyFill="1" applyAlignment="1" applyProtection="1">
      <alignment horizontal="center"/>
      <protection locked="0"/>
    </xf>
    <xf numFmtId="0" fontId="6" fillId="2" borderId="0" xfId="0" applyFont="1" applyFill="1" applyProtection="1">
      <protection locked="0"/>
    </xf>
    <xf numFmtId="0" fontId="6" fillId="2" borderId="0" xfId="0" applyFont="1" applyFill="1" applyAlignment="1" applyProtection="1">
      <alignment horizontal="center" wrapText="1"/>
      <protection locked="0"/>
    </xf>
    <xf numFmtId="0" fontId="5" fillId="4" borderId="0" xfId="0" applyFont="1" applyFill="1" applyProtection="1">
      <protection locked="0"/>
    </xf>
    <xf numFmtId="0" fontId="7" fillId="4" borderId="12" xfId="0" applyFont="1" applyFill="1" applyBorder="1" applyAlignment="1" applyProtection="1">
      <alignment vertical="center" wrapText="1"/>
      <protection locked="0"/>
    </xf>
    <xf numFmtId="0" fontId="6" fillId="4" borderId="0" xfId="0" applyFont="1" applyFill="1" applyProtection="1">
      <protection locked="0"/>
    </xf>
    <xf numFmtId="0" fontId="6" fillId="4" borderId="14" xfId="0" applyFont="1" applyFill="1" applyBorder="1" applyAlignment="1" applyProtection="1">
      <alignment horizontal="center" vertical="center"/>
      <protection locked="0"/>
    </xf>
    <xf numFmtId="0" fontId="13" fillId="0" borderId="15" xfId="0" applyFont="1" applyBorder="1" applyAlignment="1" applyProtection="1">
      <alignment horizontal="center" vertical="center" wrapText="1"/>
      <protection locked="0"/>
    </xf>
    <xf numFmtId="0" fontId="15" fillId="0" borderId="24" xfId="0" applyFont="1" applyBorder="1" applyAlignment="1" applyProtection="1">
      <alignment horizontal="center" vertical="center" wrapText="1"/>
      <protection hidden="1"/>
    </xf>
    <xf numFmtId="0" fontId="14" fillId="0" borderId="14" xfId="0" applyFont="1" applyBorder="1" applyAlignment="1" applyProtection="1">
      <alignment horizontal="center" vertical="center" wrapText="1"/>
      <protection locked="0"/>
    </xf>
    <xf numFmtId="0" fontId="14" fillId="0" borderId="25" xfId="0" applyFont="1" applyBorder="1" applyAlignment="1" applyProtection="1">
      <alignment horizontal="center" vertical="center" wrapText="1"/>
      <protection locked="0"/>
    </xf>
    <xf numFmtId="0" fontId="13" fillId="0" borderId="19" xfId="0" applyFont="1" applyBorder="1" applyAlignment="1" applyProtection="1">
      <alignment horizontal="center" vertical="center" wrapText="1"/>
      <protection locked="0"/>
    </xf>
    <xf numFmtId="0" fontId="13" fillId="0" borderId="14" xfId="0" applyFont="1" applyBorder="1" applyAlignment="1" applyProtection="1">
      <alignment horizontal="center" vertical="center" wrapText="1"/>
      <protection locked="0"/>
    </xf>
    <xf numFmtId="0" fontId="13" fillId="0" borderId="25" xfId="0" applyFont="1" applyBorder="1" applyAlignment="1" applyProtection="1">
      <alignment horizontal="center" vertical="center" wrapText="1"/>
      <protection locked="0"/>
    </xf>
    <xf numFmtId="0" fontId="14" fillId="0" borderId="19" xfId="0" applyFont="1" applyBorder="1" applyAlignment="1" applyProtection="1">
      <alignment vertical="center" wrapText="1"/>
      <protection locked="0"/>
    </xf>
    <xf numFmtId="0" fontId="15" fillId="0" borderId="19" xfId="0" applyFont="1" applyBorder="1" applyAlignment="1" applyProtection="1">
      <alignment horizontal="center" vertical="center" wrapText="1"/>
      <protection hidden="1"/>
    </xf>
    <xf numFmtId="0" fontId="13" fillId="0" borderId="1" xfId="0" applyFont="1" applyBorder="1" applyAlignment="1" applyProtection="1">
      <alignment horizontal="center" vertical="center" wrapText="1"/>
      <protection locked="0"/>
    </xf>
    <xf numFmtId="0" fontId="6" fillId="4" borderId="0" xfId="0" applyFont="1" applyFill="1" applyAlignment="1" applyProtection="1">
      <alignment horizontal="center"/>
      <protection locked="0"/>
    </xf>
    <xf numFmtId="0" fontId="13" fillId="0" borderId="24" xfId="0" applyFont="1" applyBorder="1" applyAlignment="1" applyProtection="1">
      <alignment horizontal="center" vertical="center" wrapText="1"/>
      <protection locked="0"/>
    </xf>
    <xf numFmtId="0" fontId="13" fillId="0" borderId="26" xfId="0" applyFont="1" applyBorder="1" applyAlignment="1" applyProtection="1">
      <alignment horizontal="center" vertical="center" wrapText="1"/>
      <protection locked="0"/>
    </xf>
    <xf numFmtId="0" fontId="13" fillId="0" borderId="27" xfId="0" applyFont="1" applyBorder="1" applyAlignment="1" applyProtection="1">
      <alignment vertical="center" wrapText="1"/>
      <protection locked="0"/>
    </xf>
    <xf numFmtId="0" fontId="13" fillId="0" borderId="18" xfId="0" applyFont="1" applyBorder="1" applyAlignment="1" applyProtection="1">
      <alignment vertical="center" wrapText="1"/>
      <protection locked="0"/>
    </xf>
    <xf numFmtId="0" fontId="13" fillId="7" borderId="28" xfId="0" applyFont="1" applyFill="1" applyBorder="1" applyAlignment="1" applyProtection="1">
      <alignment horizontal="center" vertical="center" wrapText="1"/>
      <protection locked="0"/>
    </xf>
    <xf numFmtId="0" fontId="15" fillId="7" borderId="28" xfId="0" applyFont="1" applyFill="1" applyBorder="1" applyAlignment="1" applyProtection="1">
      <alignment horizontal="center" vertical="center" wrapText="1"/>
      <protection hidden="1"/>
    </xf>
    <xf numFmtId="0" fontId="3" fillId="3" borderId="15" xfId="0" applyFont="1" applyFill="1" applyBorder="1" applyAlignment="1" applyProtection="1">
      <alignment horizontal="center" vertical="center" wrapText="1"/>
      <protection hidden="1"/>
    </xf>
    <xf numFmtId="0" fontId="13" fillId="0" borderId="35" xfId="0" applyFont="1" applyBorder="1" applyAlignment="1" applyProtection="1">
      <alignment horizontal="center" vertical="center" wrapText="1"/>
      <protection locked="0"/>
    </xf>
    <xf numFmtId="0" fontId="13" fillId="0" borderId="19" xfId="0" applyFont="1" applyBorder="1" applyAlignment="1" applyProtection="1">
      <alignment horizontal="center" vertical="center" wrapText="1"/>
      <protection hidden="1"/>
    </xf>
    <xf numFmtId="0" fontId="3" fillId="3" borderId="19" xfId="0" applyFont="1" applyFill="1" applyBorder="1" applyAlignment="1" applyProtection="1">
      <alignment horizontal="center" vertical="center" wrapText="1"/>
      <protection hidden="1"/>
    </xf>
    <xf numFmtId="0" fontId="15" fillId="0" borderId="19" xfId="0" applyFont="1" applyBorder="1" applyAlignment="1" applyProtection="1">
      <alignment horizontal="center" vertical="center" wrapText="1"/>
      <protection locked="0"/>
    </xf>
    <xf numFmtId="0" fontId="3" fillId="3" borderId="14" xfId="0" applyFont="1" applyFill="1" applyBorder="1" applyAlignment="1" applyProtection="1">
      <alignment horizontal="center" vertical="center" wrapText="1"/>
      <protection hidden="1"/>
    </xf>
    <xf numFmtId="0" fontId="15" fillId="0" borderId="14" xfId="0" applyFont="1" applyBorder="1" applyAlignment="1" applyProtection="1">
      <alignment horizontal="center" vertical="center" wrapText="1"/>
      <protection locked="0"/>
    </xf>
    <xf numFmtId="0" fontId="3" fillId="3" borderId="25" xfId="0" applyFont="1" applyFill="1" applyBorder="1" applyAlignment="1" applyProtection="1">
      <alignment horizontal="center" vertical="center" wrapText="1"/>
      <protection hidden="1"/>
    </xf>
    <xf numFmtId="0" fontId="13" fillId="0" borderId="24" xfId="0" applyFont="1" applyBorder="1" applyAlignment="1" applyProtection="1">
      <alignment horizontal="center" vertical="center" wrapText="1"/>
      <protection hidden="1"/>
    </xf>
    <xf numFmtId="0" fontId="13" fillId="7" borderId="37" xfId="0" applyFont="1" applyFill="1" applyBorder="1" applyAlignment="1" applyProtection="1">
      <alignment horizontal="center" vertical="center" wrapText="1"/>
      <protection hidden="1"/>
    </xf>
    <xf numFmtId="0" fontId="13" fillId="0" borderId="38" xfId="0" applyFont="1" applyBorder="1" applyAlignment="1" applyProtection="1">
      <alignment vertical="center" wrapText="1"/>
      <protection locked="0"/>
    </xf>
    <xf numFmtId="0" fontId="13" fillId="0" borderId="26" xfId="0" applyFont="1" applyBorder="1" applyAlignment="1" applyProtection="1">
      <alignment vertical="center" wrapText="1"/>
      <protection locked="0"/>
    </xf>
    <xf numFmtId="0" fontId="17" fillId="6" borderId="39" xfId="0" applyFont="1" applyFill="1" applyBorder="1" applyAlignment="1" applyProtection="1">
      <alignment horizontal="center" vertical="center" wrapText="1"/>
      <protection locked="0"/>
    </xf>
    <xf numFmtId="0" fontId="17" fillId="6" borderId="22" xfId="0" applyFont="1" applyFill="1" applyBorder="1" applyAlignment="1" applyProtection="1">
      <alignment horizontal="center" vertical="center" wrapText="1"/>
      <protection locked="0"/>
    </xf>
    <xf numFmtId="0" fontId="17" fillId="6" borderId="40" xfId="0" applyFont="1" applyFill="1" applyBorder="1" applyAlignment="1" applyProtection="1">
      <alignment horizontal="center" vertical="center" wrapText="1"/>
      <protection locked="0"/>
    </xf>
    <xf numFmtId="0" fontId="3" fillId="5" borderId="8" xfId="0" applyFont="1" applyFill="1" applyBorder="1" applyAlignment="1" applyProtection="1">
      <alignment horizontal="center" vertical="center" wrapText="1"/>
      <protection locked="0"/>
    </xf>
    <xf numFmtId="0" fontId="15" fillId="9" borderId="48" xfId="0" applyFont="1" applyFill="1" applyBorder="1" applyAlignment="1" applyProtection="1">
      <alignment horizontal="center" vertical="center" wrapText="1"/>
      <protection locked="0"/>
    </xf>
    <xf numFmtId="0" fontId="15" fillId="2" borderId="14" xfId="0" applyFont="1" applyFill="1" applyBorder="1" applyAlignment="1" applyProtection="1">
      <alignment horizontal="center" vertical="center" wrapText="1"/>
      <protection locked="0"/>
    </xf>
    <xf numFmtId="0" fontId="13" fillId="0" borderId="17" xfId="0" applyFont="1" applyBorder="1" applyAlignment="1" applyProtection="1">
      <alignment horizontal="center" vertical="center" wrapText="1"/>
      <protection hidden="1"/>
    </xf>
    <xf numFmtId="0" fontId="20" fillId="0" borderId="54" xfId="0" applyFont="1" applyBorder="1" applyAlignment="1" applyProtection="1">
      <alignment vertical="center" wrapText="1"/>
      <protection locked="0"/>
    </xf>
    <xf numFmtId="0" fontId="20" fillId="0" borderId="18" xfId="0" applyFont="1" applyBorder="1" applyAlignment="1" applyProtection="1">
      <alignment vertical="center" wrapText="1"/>
      <protection locked="0"/>
    </xf>
    <xf numFmtId="0" fontId="0" fillId="0" borderId="1" xfId="0" applyBorder="1" applyAlignment="1" applyProtection="1">
      <alignment horizontal="center" vertical="center"/>
      <protection locked="0"/>
    </xf>
    <xf numFmtId="0" fontId="21" fillId="0" borderId="1" xfId="0" applyFont="1" applyBorder="1" applyAlignment="1" applyProtection="1">
      <alignment horizontal="center"/>
      <protection locked="0"/>
    </xf>
    <xf numFmtId="0" fontId="13" fillId="2" borderId="14" xfId="0" applyFont="1" applyFill="1" applyBorder="1" applyAlignment="1" applyProtection="1">
      <alignment horizontal="center" vertical="center" wrapText="1"/>
      <protection locked="0"/>
    </xf>
    <xf numFmtId="9" fontId="15" fillId="5" borderId="8" xfId="1" applyFont="1" applyFill="1" applyBorder="1" applyAlignment="1" applyProtection="1">
      <alignment horizontal="center" vertical="center" wrapText="1"/>
      <protection locked="0"/>
    </xf>
    <xf numFmtId="10" fontId="2" fillId="0" borderId="19" xfId="1" applyNumberFormat="1" applyFont="1" applyFill="1" applyBorder="1" applyAlignment="1" applyProtection="1">
      <alignment horizontal="center" vertical="center" wrapText="1"/>
      <protection hidden="1"/>
    </xf>
    <xf numFmtId="10" fontId="6" fillId="0" borderId="15" xfId="1" applyNumberFormat="1" applyFont="1" applyFill="1" applyBorder="1" applyAlignment="1" applyProtection="1">
      <alignment horizontal="center" vertical="center" wrapText="1"/>
      <protection hidden="1"/>
    </xf>
    <xf numFmtId="10" fontId="6" fillId="9" borderId="48" xfId="1" applyNumberFormat="1" applyFont="1" applyFill="1" applyBorder="1" applyAlignment="1" applyProtection="1">
      <alignment horizontal="center" vertical="center" wrapText="1"/>
      <protection hidden="1"/>
    </xf>
    <xf numFmtId="10" fontId="4" fillId="9" borderId="48" xfId="0" applyNumberFormat="1" applyFont="1" applyFill="1" applyBorder="1" applyAlignment="1" applyProtection="1">
      <alignment horizontal="center" vertical="center" wrapText="1"/>
      <protection hidden="1"/>
    </xf>
    <xf numFmtId="10" fontId="2" fillId="0" borderId="15" xfId="0" applyNumberFormat="1" applyFont="1" applyBorder="1" applyAlignment="1" applyProtection="1">
      <alignment horizontal="center" vertical="center" wrapText="1"/>
      <protection hidden="1"/>
    </xf>
    <xf numFmtId="10" fontId="4" fillId="9" borderId="53" xfId="0" applyNumberFormat="1" applyFont="1" applyFill="1" applyBorder="1" applyAlignment="1" applyProtection="1">
      <alignment horizontal="center" vertical="center" wrapText="1"/>
      <protection hidden="1"/>
    </xf>
    <xf numFmtId="9" fontId="22" fillId="9" borderId="53" xfId="1" applyFont="1" applyFill="1" applyBorder="1" applyAlignment="1" applyProtection="1">
      <alignment vertical="center" wrapText="1"/>
      <protection locked="0"/>
    </xf>
    <xf numFmtId="10" fontId="6" fillId="0" borderId="15" xfId="1" applyNumberFormat="1" applyFont="1" applyBorder="1" applyAlignment="1" applyProtection="1">
      <alignment horizontal="center" vertical="center" wrapText="1"/>
      <protection hidden="1"/>
    </xf>
    <xf numFmtId="0" fontId="20" fillId="0" borderId="26" xfId="0" applyFont="1" applyBorder="1" applyAlignment="1" applyProtection="1">
      <alignment vertical="center" wrapText="1"/>
      <protection locked="0"/>
    </xf>
    <xf numFmtId="10" fontId="20" fillId="0" borderId="26" xfId="0" applyNumberFormat="1" applyFont="1" applyBorder="1" applyAlignment="1" applyProtection="1">
      <alignment vertical="center" wrapText="1"/>
      <protection hidden="1"/>
    </xf>
    <xf numFmtId="10" fontId="14" fillId="0" borderId="25" xfId="1" applyNumberFormat="1" applyFont="1" applyBorder="1" applyAlignment="1" applyProtection="1">
      <alignment horizontal="center" vertical="center" wrapText="1"/>
      <protection hidden="1"/>
    </xf>
    <xf numFmtId="10" fontId="22" fillId="0" borderId="15" xfId="1" applyNumberFormat="1" applyFont="1" applyFill="1" applyBorder="1" applyAlignment="1" applyProtection="1">
      <alignment vertical="center" wrapText="1"/>
      <protection hidden="1"/>
    </xf>
    <xf numFmtId="10" fontId="22" fillId="9" borderId="53" xfId="1" applyNumberFormat="1" applyFont="1" applyFill="1" applyBorder="1" applyAlignment="1" applyProtection="1">
      <alignment vertical="center" wrapText="1"/>
      <protection hidden="1"/>
    </xf>
    <xf numFmtId="0" fontId="13" fillId="0" borderId="0" xfId="0" applyFont="1" applyAlignment="1" applyProtection="1">
      <alignment horizontal="center" vertical="center" wrapText="1"/>
      <protection locked="0"/>
    </xf>
    <xf numFmtId="9" fontId="15" fillId="0" borderId="1" xfId="1" applyFont="1" applyFill="1" applyBorder="1" applyAlignment="1" applyProtection="1">
      <alignment horizontal="center" vertical="center" wrapText="1"/>
      <protection locked="0"/>
    </xf>
    <xf numFmtId="0" fontId="2" fillId="11" borderId="19" xfId="0" applyFont="1" applyFill="1" applyBorder="1" applyAlignment="1" applyProtection="1">
      <alignment horizontal="center" vertical="center" wrapText="1"/>
      <protection hidden="1"/>
    </xf>
    <xf numFmtId="0" fontId="2" fillId="0" borderId="48" xfId="0" applyFont="1" applyBorder="1" applyAlignment="1" applyProtection="1">
      <alignment horizontal="center" vertical="center" wrapText="1"/>
      <protection hidden="1"/>
    </xf>
    <xf numFmtId="0" fontId="2" fillId="12" borderId="15" xfId="0" applyFont="1" applyFill="1" applyBorder="1" applyAlignment="1" applyProtection="1">
      <alignment horizontal="center" vertical="center" wrapText="1"/>
      <protection hidden="1"/>
    </xf>
    <xf numFmtId="0" fontId="2" fillId="0" borderId="53" xfId="0" applyFont="1" applyBorder="1" applyAlignment="1" applyProtection="1">
      <alignment vertical="center" wrapText="1"/>
      <protection hidden="1"/>
    </xf>
    <xf numFmtId="0" fontId="20" fillId="0" borderId="26" xfId="0" applyFont="1" applyBorder="1" applyAlignment="1" applyProtection="1">
      <alignment vertical="center" wrapText="1"/>
      <protection hidden="1"/>
    </xf>
    <xf numFmtId="0" fontId="20" fillId="0" borderId="0" xfId="0" applyFont="1" applyAlignment="1" applyProtection="1">
      <alignment vertical="center" wrapText="1"/>
      <protection hidden="1"/>
    </xf>
    <xf numFmtId="0" fontId="14" fillId="11" borderId="15" xfId="0" applyFont="1" applyFill="1" applyBorder="1" applyAlignment="1" applyProtection="1">
      <alignment horizontal="center" vertical="center" wrapText="1"/>
      <protection hidden="1"/>
    </xf>
    <xf numFmtId="0" fontId="14" fillId="0" borderId="53" xfId="0" applyFont="1" applyBorder="1" applyAlignment="1" applyProtection="1">
      <alignment vertical="center" wrapText="1"/>
      <protection hidden="1"/>
    </xf>
    <xf numFmtId="0" fontId="7" fillId="4" borderId="36" xfId="0" applyFont="1" applyFill="1" applyBorder="1" applyAlignment="1" applyProtection="1">
      <alignment vertical="center" wrapText="1"/>
      <protection locked="0"/>
    </xf>
    <xf numFmtId="0" fontId="7" fillId="4" borderId="14" xfId="0" applyFont="1" applyFill="1" applyBorder="1" applyAlignment="1" applyProtection="1">
      <alignment vertical="center" wrapText="1"/>
      <protection locked="0"/>
    </xf>
    <xf numFmtId="0" fontId="4" fillId="0" borderId="19" xfId="0" applyFont="1" applyBorder="1" applyAlignment="1" applyProtection="1">
      <alignment horizontal="center" vertical="center" wrapText="1"/>
      <protection hidden="1"/>
    </xf>
    <xf numFmtId="0" fontId="20" fillId="0" borderId="19" xfId="0" applyFont="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locked="0"/>
    </xf>
    <xf numFmtId="0" fontId="24" fillId="13" borderId="19" xfId="0" applyFont="1" applyFill="1" applyBorder="1" applyAlignment="1" applyProtection="1">
      <alignment horizontal="center" vertical="center" wrapText="1"/>
      <protection hidden="1"/>
    </xf>
    <xf numFmtId="0" fontId="20" fillId="0" borderId="25" xfId="0" applyFont="1" applyBorder="1" applyAlignment="1" applyProtection="1">
      <alignment horizontal="center" vertical="center" wrapText="1"/>
      <protection locked="0"/>
    </xf>
    <xf numFmtId="1" fontId="12" fillId="0" borderId="19" xfId="0" applyNumberFormat="1" applyFont="1" applyBorder="1" applyAlignment="1" applyProtection="1">
      <alignment horizontal="center" vertical="center" wrapText="1"/>
      <protection hidden="1"/>
    </xf>
    <xf numFmtId="0" fontId="25" fillId="3" borderId="19" xfId="0" applyFont="1" applyFill="1" applyBorder="1" applyAlignment="1" applyProtection="1">
      <alignment horizontal="center" vertical="center" wrapText="1"/>
      <protection locked="0"/>
    </xf>
    <xf numFmtId="0" fontId="7" fillId="4" borderId="14" xfId="0" applyFont="1" applyFill="1" applyBorder="1" applyAlignment="1" applyProtection="1">
      <alignment horizontal="center" vertical="center" wrapText="1"/>
      <protection locked="0"/>
    </xf>
    <xf numFmtId="0" fontId="13" fillId="13" borderId="37" xfId="0" applyFont="1" applyFill="1" applyBorder="1" applyAlignment="1" applyProtection="1">
      <alignment horizontal="center" vertical="center" wrapText="1"/>
      <protection hidden="1"/>
    </xf>
    <xf numFmtId="1" fontId="13" fillId="7" borderId="37" xfId="0" applyNumberFormat="1" applyFont="1" applyFill="1" applyBorder="1" applyAlignment="1" applyProtection="1">
      <alignment horizontal="center" vertical="center" wrapText="1"/>
      <protection hidden="1"/>
    </xf>
    <xf numFmtId="0" fontId="20" fillId="0" borderId="26" xfId="0" applyFont="1" applyBorder="1" applyAlignment="1" applyProtection="1">
      <alignment horizontal="center" vertical="center" wrapText="1"/>
      <protection locked="0"/>
    </xf>
    <xf numFmtId="0" fontId="20" fillId="0" borderId="35" xfId="0" applyFont="1" applyBorder="1" applyAlignment="1" applyProtection="1">
      <alignment horizontal="center" vertical="center" wrapText="1"/>
      <protection locked="0"/>
    </xf>
    <xf numFmtId="0" fontId="3" fillId="13" borderId="25" xfId="0" applyFont="1" applyFill="1" applyBorder="1" applyAlignment="1" applyProtection="1">
      <alignment horizontal="center" vertical="center" wrapText="1"/>
      <protection hidden="1"/>
    </xf>
    <xf numFmtId="1" fontId="13" fillId="0" borderId="19" xfId="0" applyNumberFormat="1" applyFont="1" applyBorder="1" applyAlignment="1" applyProtection="1">
      <alignment horizontal="center" vertical="center" wrapText="1"/>
      <protection hidden="1"/>
    </xf>
    <xf numFmtId="0" fontId="13" fillId="0" borderId="68" xfId="0" applyFont="1" applyBorder="1" applyAlignment="1" applyProtection="1">
      <alignment horizontal="center" vertical="center" wrapText="1"/>
      <protection locked="0"/>
    </xf>
    <xf numFmtId="0" fontId="13" fillId="0" borderId="69" xfId="0" applyFont="1" applyBorder="1" applyAlignment="1" applyProtection="1">
      <alignment horizontal="center" vertical="center" wrapText="1"/>
      <protection locked="0"/>
    </xf>
    <xf numFmtId="0" fontId="13" fillId="0" borderId="70" xfId="0" applyFont="1" applyBorder="1" applyAlignment="1" applyProtection="1">
      <alignment horizontal="center" vertical="center" wrapText="1"/>
      <protection hidden="1"/>
    </xf>
    <xf numFmtId="0" fontId="13" fillId="0" borderId="72" xfId="0" applyFont="1" applyBorder="1" applyAlignment="1" applyProtection="1">
      <alignment horizontal="center" vertical="center" wrapText="1"/>
      <protection locked="0"/>
    </xf>
    <xf numFmtId="0" fontId="13" fillId="0" borderId="74" xfId="0" applyFont="1" applyBorder="1" applyAlignment="1" applyProtection="1">
      <alignment horizontal="center" vertical="center" wrapText="1"/>
      <protection locked="0"/>
    </xf>
    <xf numFmtId="0" fontId="13" fillId="0" borderId="17" xfId="0" applyFont="1" applyBorder="1" applyAlignment="1" applyProtection="1">
      <alignment horizontal="center" vertical="center" wrapText="1"/>
      <protection locked="0"/>
    </xf>
    <xf numFmtId="0" fontId="13" fillId="0" borderId="18" xfId="0" applyFont="1" applyBorder="1" applyAlignment="1" applyProtection="1">
      <alignment horizontal="center" vertical="center" wrapText="1"/>
      <protection locked="0"/>
    </xf>
    <xf numFmtId="0" fontId="6" fillId="4" borderId="14" xfId="0" applyFont="1" applyFill="1" applyBorder="1" applyAlignment="1" applyProtection="1">
      <alignment vertical="center"/>
      <protection locked="0"/>
    </xf>
    <xf numFmtId="0" fontId="14" fillId="0" borderId="18" xfId="0" applyFont="1" applyBorder="1" applyAlignment="1" applyProtection="1">
      <alignment horizontal="center" vertical="center" wrapText="1"/>
      <protection locked="0"/>
    </xf>
    <xf numFmtId="0" fontId="12" fillId="2" borderId="9" xfId="0" applyFont="1" applyFill="1" applyBorder="1" applyAlignment="1" applyProtection="1">
      <alignment horizontal="center" vertical="center" wrapText="1"/>
      <protection locked="0"/>
    </xf>
    <xf numFmtId="0" fontId="13" fillId="3" borderId="18" xfId="0" applyFont="1" applyFill="1" applyBorder="1" applyAlignment="1" applyProtection="1">
      <alignment horizontal="center" vertical="center" wrapText="1"/>
      <protection locked="0"/>
    </xf>
    <xf numFmtId="0" fontId="13" fillId="3" borderId="18" xfId="0" applyFont="1" applyFill="1" applyBorder="1" applyAlignment="1" applyProtection="1">
      <alignment horizontal="center" vertical="center" wrapText="1"/>
      <protection hidden="1"/>
    </xf>
    <xf numFmtId="0" fontId="12" fillId="0" borderId="18" xfId="0" applyFont="1" applyBorder="1" applyAlignment="1" applyProtection="1">
      <alignment horizontal="center" vertical="center" wrapText="1"/>
      <protection locked="0"/>
    </xf>
    <xf numFmtId="0" fontId="20" fillId="0" borderId="18" xfId="0" applyFont="1" applyBorder="1" applyAlignment="1" applyProtection="1">
      <alignment horizontal="center" vertical="center" wrapText="1"/>
      <protection locked="0"/>
    </xf>
    <xf numFmtId="0" fontId="6" fillId="2" borderId="12" xfId="0" applyFont="1" applyFill="1" applyBorder="1" applyAlignment="1" applyProtection="1">
      <alignment vertical="center"/>
      <protection locked="0"/>
    </xf>
    <xf numFmtId="0" fontId="6" fillId="2" borderId="13" xfId="0" applyFont="1" applyFill="1" applyBorder="1" applyProtection="1">
      <protection locked="0"/>
    </xf>
    <xf numFmtId="0" fontId="6" fillId="2" borderId="13" xfId="0" applyFont="1" applyFill="1" applyBorder="1" applyAlignment="1" applyProtection="1">
      <alignment horizontal="center" wrapText="1"/>
      <protection locked="0"/>
    </xf>
    <xf numFmtId="0" fontId="27" fillId="0" borderId="17" xfId="0" applyFont="1" applyBorder="1" applyAlignment="1" applyProtection="1">
      <alignment horizontal="left"/>
      <protection locked="0"/>
    </xf>
    <xf numFmtId="0" fontId="27" fillId="0" borderId="18" xfId="0" applyFont="1" applyBorder="1" applyAlignment="1" applyProtection="1">
      <alignment horizontal="left"/>
      <protection locked="0"/>
    </xf>
    <xf numFmtId="0" fontId="27" fillId="0" borderId="18" xfId="0" applyFont="1" applyBorder="1" applyAlignment="1" applyProtection="1">
      <alignment horizontal="center" wrapText="1"/>
      <protection locked="0"/>
    </xf>
    <xf numFmtId="0" fontId="6" fillId="2" borderId="0" xfId="0" applyFont="1" applyFill="1" applyAlignment="1" applyProtection="1">
      <alignment vertical="center"/>
      <protection locked="0"/>
    </xf>
    <xf numFmtId="0" fontId="13" fillId="0" borderId="75" xfId="0" applyFont="1" applyBorder="1" applyAlignment="1" applyProtection="1">
      <alignment horizontal="center" vertical="center" wrapText="1"/>
      <protection locked="0"/>
    </xf>
    <xf numFmtId="0" fontId="13" fillId="0" borderId="70" xfId="0" applyFont="1" applyBorder="1" applyAlignment="1" applyProtection="1">
      <alignment horizontal="center" vertical="center" wrapText="1"/>
      <protection locked="0"/>
    </xf>
    <xf numFmtId="0" fontId="28" fillId="0" borderId="11" xfId="0" applyFont="1" applyBorder="1" applyAlignment="1" applyProtection="1">
      <alignment horizontal="center" vertical="center" wrapText="1"/>
      <protection locked="0"/>
    </xf>
    <xf numFmtId="0" fontId="28" fillId="0" borderId="22" xfId="0" applyFont="1" applyBorder="1" applyAlignment="1" applyProtection="1">
      <alignment horizontal="center" vertical="center" wrapText="1"/>
      <protection locked="0"/>
    </xf>
    <xf numFmtId="0" fontId="28" fillId="0" borderId="23" xfId="0" applyFont="1" applyBorder="1" applyAlignment="1" applyProtection="1">
      <alignment horizontal="center" vertical="center" wrapText="1"/>
      <protection locked="0"/>
    </xf>
    <xf numFmtId="9" fontId="13" fillId="0" borderId="18" xfId="0" applyNumberFormat="1" applyFont="1" applyBorder="1" applyAlignment="1" applyProtection="1">
      <alignment horizontal="center" vertical="center" wrapText="1"/>
      <protection locked="0"/>
    </xf>
    <xf numFmtId="0" fontId="29" fillId="2" borderId="18" xfId="0" applyFont="1" applyFill="1" applyBorder="1" applyProtection="1">
      <protection locked="0"/>
    </xf>
    <xf numFmtId="0" fontId="13" fillId="2" borderId="25" xfId="0" applyFont="1" applyFill="1" applyBorder="1" applyAlignment="1" applyProtection="1">
      <alignment horizontal="center" vertical="center" wrapText="1"/>
      <protection locked="0"/>
    </xf>
    <xf numFmtId="0" fontId="13" fillId="0" borderId="76" xfId="0" applyFont="1" applyBorder="1" applyAlignment="1" applyProtection="1">
      <alignment horizontal="center" vertical="center" wrapText="1"/>
      <protection hidden="1"/>
    </xf>
    <xf numFmtId="0" fontId="13" fillId="0" borderId="77" xfId="0" applyFont="1" applyBorder="1" applyAlignment="1" applyProtection="1">
      <alignment horizontal="center" vertical="center" wrapText="1"/>
      <protection locked="0"/>
    </xf>
    <xf numFmtId="0" fontId="13" fillId="9" borderId="78" xfId="0" applyFont="1" applyFill="1" applyBorder="1" applyAlignment="1" applyProtection="1">
      <alignment horizontal="center" vertical="center" wrapText="1"/>
      <protection locked="0"/>
    </xf>
    <xf numFmtId="0" fontId="13" fillId="9" borderId="80" xfId="0" applyFont="1" applyFill="1" applyBorder="1" applyAlignment="1" applyProtection="1">
      <alignment horizontal="center" vertical="center" wrapText="1"/>
      <protection locked="0"/>
    </xf>
    <xf numFmtId="0" fontId="13" fillId="9" borderId="81" xfId="0" applyFont="1" applyFill="1" applyBorder="1" applyAlignment="1" applyProtection="1">
      <alignment horizontal="center" vertical="center" wrapText="1"/>
      <protection locked="0"/>
    </xf>
    <xf numFmtId="10" fontId="22" fillId="0" borderId="69" xfId="0" applyNumberFormat="1" applyFont="1" applyBorder="1" applyAlignment="1" applyProtection="1">
      <alignment horizontal="center" vertical="center"/>
      <protection hidden="1"/>
    </xf>
    <xf numFmtId="10" fontId="22" fillId="9" borderId="82" xfId="0" applyNumberFormat="1" applyFont="1" applyFill="1" applyBorder="1" applyAlignment="1" applyProtection="1">
      <alignment horizontal="center" vertical="center"/>
      <protection hidden="1"/>
    </xf>
    <xf numFmtId="10" fontId="14" fillId="0" borderId="15" xfId="1" applyNumberFormat="1" applyFont="1" applyFill="1" applyBorder="1" applyAlignment="1" applyProtection="1">
      <alignment horizontal="center" vertical="center" wrapText="1"/>
      <protection hidden="1"/>
    </xf>
    <xf numFmtId="10" fontId="14" fillId="9" borderId="53" xfId="1" applyNumberFormat="1" applyFont="1" applyFill="1" applyBorder="1" applyAlignment="1" applyProtection="1">
      <alignment horizontal="center" vertical="center" wrapText="1"/>
      <protection hidden="1"/>
    </xf>
    <xf numFmtId="10" fontId="22" fillId="0" borderId="75" xfId="0" applyNumberFormat="1" applyFont="1" applyBorder="1" applyAlignment="1" applyProtection="1">
      <alignment horizontal="center" vertical="center"/>
      <protection hidden="1"/>
    </xf>
    <xf numFmtId="0" fontId="13" fillId="3" borderId="18" xfId="0" applyFont="1" applyFill="1" applyBorder="1" applyAlignment="1">
      <alignment horizontal="center" vertical="center" wrapText="1"/>
    </xf>
    <xf numFmtId="0" fontId="6" fillId="2" borderId="18" xfId="0" applyFont="1" applyFill="1" applyBorder="1" applyProtection="1">
      <protection locked="0"/>
    </xf>
    <xf numFmtId="0" fontId="14" fillId="0" borderId="53" xfId="0" applyFont="1" applyBorder="1" applyAlignment="1" applyProtection="1">
      <alignment horizontal="center" vertical="center" wrapText="1"/>
      <protection hidden="1"/>
    </xf>
    <xf numFmtId="0" fontId="14" fillId="11" borderId="15" xfId="0" applyFont="1" applyFill="1" applyBorder="1" applyAlignment="1" applyProtection="1">
      <alignment vertical="center" wrapText="1"/>
      <protection hidden="1"/>
    </xf>
    <xf numFmtId="0" fontId="14" fillId="0" borderId="48" xfId="0" applyFont="1" applyBorder="1" applyAlignment="1" applyProtection="1">
      <alignment vertical="center" wrapText="1"/>
      <protection hidden="1"/>
    </xf>
    <xf numFmtId="9" fontId="13" fillId="0" borderId="0" xfId="0" applyNumberFormat="1" applyFont="1" applyAlignment="1" applyProtection="1">
      <alignment horizontal="center" vertical="center" wrapText="1"/>
      <protection locked="0"/>
    </xf>
    <xf numFmtId="1" fontId="3" fillId="13" borderId="15" xfId="1" applyNumberFormat="1" applyFont="1" applyFill="1" applyBorder="1" applyAlignment="1" applyProtection="1">
      <alignment horizontal="center" vertical="center" wrapText="1"/>
      <protection hidden="1"/>
    </xf>
    <xf numFmtId="1" fontId="3" fillId="3" borderId="15" xfId="1" applyNumberFormat="1" applyFont="1" applyFill="1" applyBorder="1" applyAlignment="1" applyProtection="1">
      <alignment horizontal="center" vertical="center" wrapText="1"/>
      <protection hidden="1"/>
    </xf>
    <xf numFmtId="0" fontId="13" fillId="0" borderId="35" xfId="0" applyFont="1" applyBorder="1" applyAlignment="1" applyProtection="1">
      <alignment vertical="center" wrapText="1"/>
      <protection locked="0"/>
    </xf>
    <xf numFmtId="0" fontId="13" fillId="0" borderId="15" xfId="0" applyFont="1" applyBorder="1" applyAlignment="1" applyProtection="1">
      <alignment vertical="center" wrapText="1"/>
      <protection locked="0"/>
    </xf>
    <xf numFmtId="0" fontId="13" fillId="3" borderId="26" xfId="0" applyFont="1" applyFill="1" applyBorder="1" applyAlignment="1" applyProtection="1">
      <alignment horizontal="center" vertical="center" wrapText="1"/>
      <protection locked="0"/>
    </xf>
    <xf numFmtId="9" fontId="30" fillId="0" borderId="26" xfId="1" applyFont="1" applyFill="1" applyBorder="1" applyAlignment="1" applyProtection="1">
      <alignment horizontal="center" vertical="center" wrapText="1"/>
      <protection hidden="1"/>
    </xf>
    <xf numFmtId="1" fontId="31" fillId="0" borderId="26" xfId="1" applyNumberFormat="1" applyFont="1" applyFill="1" applyBorder="1" applyAlignment="1" applyProtection="1">
      <alignment horizontal="center" vertical="center" wrapText="1"/>
      <protection locked="0"/>
    </xf>
    <xf numFmtId="0" fontId="6" fillId="2" borderId="36" xfId="0" applyFont="1" applyFill="1" applyBorder="1" applyProtection="1">
      <protection locked="0"/>
    </xf>
    <xf numFmtId="0" fontId="6" fillId="2" borderId="29" xfId="0" applyFont="1" applyFill="1" applyBorder="1" applyProtection="1">
      <protection locked="0"/>
    </xf>
    <xf numFmtId="0" fontId="6" fillId="2" borderId="30" xfId="0" applyFont="1" applyFill="1" applyBorder="1" applyProtection="1">
      <protection locked="0"/>
    </xf>
    <xf numFmtId="0" fontId="13" fillId="9" borderId="53" xfId="0" applyFont="1" applyFill="1" applyBorder="1" applyAlignment="1" applyProtection="1">
      <alignment horizontal="center" vertical="center" wrapText="1"/>
      <protection locked="0"/>
    </xf>
    <xf numFmtId="0" fontId="13" fillId="9" borderId="48" xfId="0" applyFont="1" applyFill="1" applyBorder="1" applyAlignment="1" applyProtection="1">
      <alignment horizontal="center" vertical="center" wrapText="1"/>
      <protection locked="0"/>
    </xf>
    <xf numFmtId="0" fontId="15" fillId="9" borderId="52" xfId="0" applyFont="1" applyFill="1" applyBorder="1" applyAlignment="1" applyProtection="1">
      <alignment horizontal="center" vertical="center" wrapText="1"/>
      <protection locked="0"/>
    </xf>
    <xf numFmtId="10" fontId="2" fillId="9" borderId="48" xfId="1" applyNumberFormat="1" applyFont="1" applyFill="1" applyBorder="1" applyAlignment="1" applyProtection="1">
      <alignment horizontal="center" vertical="center" wrapText="1"/>
      <protection hidden="1"/>
    </xf>
    <xf numFmtId="0" fontId="2" fillId="0" borderId="53" xfId="0" applyFont="1" applyBorder="1" applyAlignment="1" applyProtection="1">
      <alignment horizontal="center" vertical="center" wrapText="1"/>
      <protection hidden="1"/>
    </xf>
    <xf numFmtId="10" fontId="2" fillId="9" borderId="53" xfId="1" applyNumberFormat="1" applyFont="1" applyFill="1" applyBorder="1" applyAlignment="1" applyProtection="1">
      <alignment horizontal="center" vertical="center" wrapText="1"/>
      <protection hidden="1"/>
    </xf>
    <xf numFmtId="0" fontId="13" fillId="9" borderId="53" xfId="1" applyNumberFormat="1" applyFont="1" applyFill="1" applyBorder="1" applyAlignment="1" applyProtection="1">
      <alignment horizontal="center" vertical="center" wrapText="1"/>
      <protection locked="0"/>
    </xf>
    <xf numFmtId="1" fontId="13" fillId="3" borderId="18" xfId="0" applyNumberFormat="1" applyFont="1" applyFill="1" applyBorder="1" applyAlignment="1">
      <alignment horizontal="center" vertical="center" wrapText="1"/>
    </xf>
    <xf numFmtId="0" fontId="0" fillId="14" borderId="1" xfId="0" applyFill="1" applyBorder="1" applyAlignment="1" applyProtection="1">
      <alignment horizontal="center" vertical="center"/>
      <protection locked="0"/>
    </xf>
    <xf numFmtId="0" fontId="13" fillId="14" borderId="77" xfId="0" applyFont="1" applyFill="1" applyBorder="1" applyAlignment="1" applyProtection="1">
      <alignment horizontal="center" vertical="center" wrapText="1"/>
      <protection locked="0"/>
    </xf>
    <xf numFmtId="0" fontId="13" fillId="0" borderId="15" xfId="0" applyFont="1" applyBorder="1" applyAlignment="1" applyProtection="1">
      <alignment horizontal="center" vertical="center" wrapText="1"/>
      <protection locked="0"/>
    </xf>
    <xf numFmtId="0" fontId="7" fillId="4" borderId="29" xfId="0" applyFont="1" applyFill="1" applyBorder="1" applyAlignment="1" applyProtection="1">
      <alignment horizontal="center" vertical="center" wrapText="1"/>
      <protection locked="0"/>
    </xf>
    <xf numFmtId="0" fontId="3" fillId="5" borderId="34" xfId="0" applyFont="1" applyFill="1" applyBorder="1" applyAlignment="1" applyProtection="1">
      <alignment horizontal="center" vertical="center" wrapText="1"/>
      <protection locked="0"/>
    </xf>
    <xf numFmtId="0" fontId="3" fillId="5" borderId="55" xfId="0" applyFont="1" applyFill="1" applyBorder="1" applyAlignment="1" applyProtection="1">
      <alignment horizontal="center" vertical="center" wrapText="1"/>
      <protection locked="0"/>
    </xf>
    <xf numFmtId="0" fontId="3" fillId="5" borderId="33" xfId="0" applyFont="1" applyFill="1" applyBorder="1" applyAlignment="1" applyProtection="1">
      <alignment horizontal="center" vertical="center" wrapText="1"/>
      <protection locked="0"/>
    </xf>
    <xf numFmtId="0" fontId="3" fillId="5" borderId="56" xfId="0" applyFont="1" applyFill="1" applyBorder="1" applyAlignment="1" applyProtection="1">
      <alignment horizontal="center" vertical="center" wrapText="1"/>
      <protection locked="0"/>
    </xf>
    <xf numFmtId="0" fontId="3" fillId="5" borderId="42" xfId="0" applyFont="1" applyFill="1" applyBorder="1" applyAlignment="1" applyProtection="1">
      <alignment horizontal="center" vertical="center" wrapText="1"/>
      <protection locked="0"/>
    </xf>
    <xf numFmtId="0" fontId="3" fillId="5" borderId="58" xfId="0" applyFont="1" applyFill="1" applyBorder="1" applyAlignment="1" applyProtection="1">
      <alignment horizontal="center" vertical="center" wrapText="1"/>
      <protection locked="0"/>
    </xf>
    <xf numFmtId="0" fontId="13" fillId="0" borderId="34" xfId="0" applyFont="1" applyBorder="1" applyAlignment="1" applyProtection="1">
      <alignment horizontal="center" vertical="center" wrapText="1"/>
      <protection locked="0"/>
    </xf>
    <xf numFmtId="0" fontId="13" fillId="0" borderId="55" xfId="0" applyFont="1" applyBorder="1" applyAlignment="1" applyProtection="1">
      <alignment horizontal="center" vertical="center" wrapText="1"/>
      <protection locked="0"/>
    </xf>
    <xf numFmtId="0" fontId="13" fillId="0" borderId="33" xfId="0" applyFont="1" applyBorder="1" applyAlignment="1" applyProtection="1">
      <alignment horizontal="center" vertical="center" wrapText="1"/>
      <protection locked="0"/>
    </xf>
    <xf numFmtId="0" fontId="13" fillId="0" borderId="23" xfId="0" applyFont="1" applyBorder="1" applyAlignment="1" applyProtection="1">
      <alignment horizontal="center" vertical="center" wrapText="1"/>
      <protection locked="0"/>
    </xf>
    <xf numFmtId="0" fontId="13" fillId="0" borderId="0" xfId="0" applyFont="1" applyAlignment="1" applyProtection="1">
      <alignment horizontal="center" vertical="center" wrapText="1"/>
      <protection locked="0"/>
    </xf>
    <xf numFmtId="0" fontId="13" fillId="0" borderId="39" xfId="0" applyFont="1" applyBorder="1" applyAlignment="1" applyProtection="1">
      <alignment horizontal="center" vertical="center" wrapText="1"/>
      <protection locked="0"/>
    </xf>
    <xf numFmtId="17" fontId="19" fillId="4" borderId="16" xfId="0" applyNumberFormat="1" applyFont="1" applyFill="1" applyBorder="1" applyAlignment="1" applyProtection="1">
      <alignment horizontal="left" vertical="top" wrapText="1"/>
      <protection locked="0"/>
    </xf>
    <xf numFmtId="17" fontId="19" fillId="4" borderId="0" xfId="0" applyNumberFormat="1" applyFont="1" applyFill="1" applyAlignment="1" applyProtection="1">
      <alignment horizontal="left" vertical="top" wrapText="1"/>
      <protection locked="0"/>
    </xf>
    <xf numFmtId="17" fontId="19" fillId="4" borderId="29" xfId="0" applyNumberFormat="1" applyFont="1" applyFill="1" applyBorder="1" applyAlignment="1" applyProtection="1">
      <alignment horizontal="left" vertical="top" wrapText="1"/>
      <protection locked="0"/>
    </xf>
    <xf numFmtId="17" fontId="19" fillId="4" borderId="41" xfId="0" applyNumberFormat="1" applyFont="1" applyFill="1" applyBorder="1" applyAlignment="1" applyProtection="1">
      <alignment horizontal="left" vertical="top" wrapText="1"/>
      <protection locked="0"/>
    </xf>
    <xf numFmtId="17" fontId="19" fillId="4" borderId="42" xfId="0" applyNumberFormat="1" applyFont="1" applyFill="1" applyBorder="1" applyAlignment="1" applyProtection="1">
      <alignment horizontal="left" vertical="top" wrapText="1"/>
      <protection locked="0"/>
    </xf>
    <xf numFmtId="17" fontId="19" fillId="4" borderId="61" xfId="0" applyNumberFormat="1" applyFont="1" applyFill="1" applyBorder="1" applyAlignment="1" applyProtection="1">
      <alignment horizontal="left" vertical="top" wrapText="1"/>
      <protection locked="0"/>
    </xf>
    <xf numFmtId="0" fontId="10" fillId="0" borderId="16" xfId="0" applyFont="1" applyBorder="1" applyAlignment="1" applyProtection="1">
      <alignment horizontal="center" vertical="center" wrapText="1"/>
      <protection locked="0"/>
    </xf>
    <xf numFmtId="0" fontId="10" fillId="0" borderId="0" xfId="0" applyFont="1" applyAlignment="1" applyProtection="1">
      <alignment horizontal="center" vertical="center" wrapText="1"/>
      <protection locked="0"/>
    </xf>
    <xf numFmtId="0" fontId="10" fillId="0" borderId="17" xfId="0" applyFont="1" applyBorder="1" applyAlignment="1" applyProtection="1">
      <alignment horizontal="center" vertical="center" wrapText="1"/>
      <protection locked="0"/>
    </xf>
    <xf numFmtId="0" fontId="10" fillId="0" borderId="18" xfId="0" applyFont="1" applyBorder="1" applyAlignment="1" applyProtection="1">
      <alignment horizontal="center" vertical="center" wrapText="1"/>
      <protection locked="0"/>
    </xf>
    <xf numFmtId="0" fontId="4" fillId="8" borderId="16" xfId="0" applyFont="1" applyFill="1" applyBorder="1" applyAlignment="1" applyProtection="1">
      <alignment horizontal="center" vertical="center" wrapText="1"/>
      <protection locked="0"/>
    </xf>
    <xf numFmtId="0" fontId="4" fillId="8" borderId="29" xfId="0" applyFont="1" applyFill="1" applyBorder="1" applyAlignment="1" applyProtection="1">
      <alignment horizontal="center" vertical="center" wrapText="1"/>
      <protection locked="0"/>
    </xf>
    <xf numFmtId="0" fontId="4" fillId="8" borderId="17" xfId="0" applyFont="1" applyFill="1" applyBorder="1" applyAlignment="1" applyProtection="1">
      <alignment horizontal="center" vertical="center" wrapText="1"/>
      <protection locked="0"/>
    </xf>
    <xf numFmtId="0" fontId="4" fillId="8" borderId="30" xfId="0" applyFont="1" applyFill="1" applyBorder="1" applyAlignment="1" applyProtection="1">
      <alignment horizontal="center" vertical="center" wrapText="1"/>
      <protection locked="0"/>
    </xf>
    <xf numFmtId="0" fontId="11" fillId="5" borderId="16" xfId="0" applyFont="1" applyFill="1" applyBorder="1" applyAlignment="1" applyProtection="1">
      <alignment horizontal="center" vertical="center" wrapText="1"/>
      <protection locked="0"/>
    </xf>
    <xf numFmtId="0" fontId="11" fillId="5" borderId="0" xfId="0" applyFont="1" applyFill="1" applyAlignment="1" applyProtection="1">
      <alignment horizontal="center" vertical="center" wrapText="1"/>
      <protection locked="0"/>
    </xf>
    <xf numFmtId="0" fontId="11" fillId="5" borderId="29" xfId="0" applyFont="1" applyFill="1" applyBorder="1" applyAlignment="1" applyProtection="1">
      <alignment horizontal="center" vertical="center" wrapText="1"/>
      <protection locked="0"/>
    </xf>
    <xf numFmtId="0" fontId="11" fillId="5" borderId="17" xfId="0" applyFont="1" applyFill="1" applyBorder="1" applyAlignment="1" applyProtection="1">
      <alignment horizontal="center" vertical="center" wrapText="1"/>
      <protection locked="0"/>
    </xf>
    <xf numFmtId="0" fontId="11" fillId="5" borderId="18" xfId="0" applyFont="1" applyFill="1" applyBorder="1" applyAlignment="1" applyProtection="1">
      <alignment horizontal="center" vertical="center" wrapText="1"/>
      <protection locked="0"/>
    </xf>
    <xf numFmtId="0" fontId="11" fillId="5" borderId="30" xfId="0" applyFont="1" applyFill="1" applyBorder="1" applyAlignment="1" applyProtection="1">
      <alignment horizontal="center" vertical="center" wrapText="1"/>
      <protection locked="0"/>
    </xf>
    <xf numFmtId="0" fontId="16" fillId="8" borderId="16" xfId="0" applyFont="1" applyFill="1" applyBorder="1" applyAlignment="1" applyProtection="1">
      <alignment horizontal="center" vertical="center" wrapText="1"/>
      <protection locked="0"/>
    </xf>
    <xf numFmtId="0" fontId="16" fillId="8" borderId="0" xfId="0" applyFont="1" applyFill="1" applyAlignment="1" applyProtection="1">
      <alignment horizontal="center" vertical="center" wrapText="1"/>
      <protection locked="0"/>
    </xf>
    <xf numFmtId="0" fontId="16" fillId="8" borderId="29" xfId="0" applyFont="1" applyFill="1" applyBorder="1" applyAlignment="1" applyProtection="1">
      <alignment horizontal="center" vertical="center" wrapText="1"/>
      <protection locked="0"/>
    </xf>
    <xf numFmtId="0" fontId="16" fillId="8" borderId="17" xfId="0" applyFont="1" applyFill="1" applyBorder="1" applyAlignment="1" applyProtection="1">
      <alignment horizontal="center" vertical="center" wrapText="1"/>
      <protection locked="0"/>
    </xf>
    <xf numFmtId="0" fontId="16" fillId="8" borderId="18" xfId="0" applyFont="1" applyFill="1" applyBorder="1" applyAlignment="1" applyProtection="1">
      <alignment horizontal="center" vertical="center" wrapText="1"/>
      <protection locked="0"/>
    </xf>
    <xf numFmtId="0" fontId="16" fillId="8" borderId="30" xfId="0" applyFont="1" applyFill="1" applyBorder="1" applyAlignment="1" applyProtection="1">
      <alignment horizontal="center" vertical="center" wrapText="1"/>
      <protection locked="0"/>
    </xf>
    <xf numFmtId="0" fontId="13" fillId="0" borderId="35" xfId="0" applyFont="1" applyBorder="1" applyAlignment="1" applyProtection="1">
      <alignment horizontal="center" vertical="center" wrapText="1"/>
      <protection locked="0"/>
    </xf>
    <xf numFmtId="0" fontId="16" fillId="8" borderId="14" xfId="0" applyFont="1" applyFill="1" applyBorder="1" applyAlignment="1" applyProtection="1">
      <alignment horizontal="center" vertical="center" wrapText="1"/>
      <protection locked="0"/>
    </xf>
    <xf numFmtId="0" fontId="20" fillId="0" borderId="15" xfId="0" applyFont="1" applyBorder="1" applyAlignment="1" applyProtection="1">
      <alignment horizontal="center" vertical="center" wrapText="1"/>
      <protection locked="0"/>
    </xf>
    <xf numFmtId="0" fontId="20" fillId="0" borderId="19" xfId="0" applyFont="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locked="0"/>
    </xf>
    <xf numFmtId="0" fontId="20" fillId="0" borderId="25" xfId="0" applyFont="1" applyBorder="1" applyAlignment="1" applyProtection="1">
      <alignment horizontal="center" vertical="center" wrapText="1"/>
      <protection locked="0"/>
    </xf>
    <xf numFmtId="1" fontId="13" fillId="0" borderId="19" xfId="0" applyNumberFormat="1" applyFont="1" applyBorder="1" applyAlignment="1" applyProtection="1">
      <alignment horizontal="center" vertical="center" wrapText="1"/>
      <protection hidden="1"/>
    </xf>
    <xf numFmtId="1" fontId="13" fillId="0" borderId="14" xfId="0" applyNumberFormat="1" applyFont="1" applyBorder="1" applyAlignment="1" applyProtection="1">
      <alignment horizontal="center" vertical="center" wrapText="1"/>
      <protection hidden="1"/>
    </xf>
    <xf numFmtId="1" fontId="13" fillId="0" borderId="25" xfId="0" applyNumberFormat="1" applyFont="1" applyBorder="1" applyAlignment="1" applyProtection="1">
      <alignment horizontal="center" vertical="center" wrapText="1"/>
      <protection hidden="1"/>
    </xf>
    <xf numFmtId="0" fontId="23" fillId="3" borderId="63" xfId="0" applyFont="1" applyFill="1" applyBorder="1" applyAlignment="1" applyProtection="1">
      <alignment horizontal="center" vertical="center" textRotation="90" wrapText="1"/>
      <protection locked="0"/>
    </xf>
    <xf numFmtId="0" fontId="23" fillId="3" borderId="64" xfId="0" applyFont="1" applyFill="1" applyBorder="1" applyAlignment="1" applyProtection="1">
      <alignment horizontal="center" vertical="center" textRotation="90" wrapText="1"/>
      <protection locked="0"/>
    </xf>
    <xf numFmtId="0" fontId="23" fillId="3" borderId="65" xfId="0" applyFont="1" applyFill="1" applyBorder="1" applyAlignment="1" applyProtection="1">
      <alignment horizontal="center" vertical="center" textRotation="90" wrapText="1"/>
      <protection locked="0"/>
    </xf>
    <xf numFmtId="0" fontId="25" fillId="3" borderId="15" xfId="0" applyFont="1" applyFill="1" applyBorder="1" applyAlignment="1" applyProtection="1">
      <alignment horizontal="center" vertical="center" wrapText="1"/>
      <protection locked="0"/>
    </xf>
    <xf numFmtId="0" fontId="25" fillId="3" borderId="19" xfId="0" applyFont="1" applyFill="1" applyBorder="1" applyAlignment="1" applyProtection="1">
      <alignment horizontal="center" vertical="center" wrapText="1"/>
      <protection locked="0"/>
    </xf>
    <xf numFmtId="0" fontId="25" fillId="3" borderId="14" xfId="0" applyFont="1" applyFill="1" applyBorder="1" applyAlignment="1" applyProtection="1">
      <alignment horizontal="center" vertical="center" wrapText="1"/>
      <protection locked="0"/>
    </xf>
    <xf numFmtId="0" fontId="25" fillId="3" borderId="25" xfId="0" applyFont="1" applyFill="1" applyBorder="1" applyAlignment="1" applyProtection="1">
      <alignment horizontal="center" vertical="center" wrapText="1"/>
      <protection locked="0"/>
    </xf>
    <xf numFmtId="0" fontId="25" fillId="3" borderId="66" xfId="0" applyFont="1" applyFill="1" applyBorder="1" applyAlignment="1" applyProtection="1">
      <alignment horizontal="center" vertical="center" wrapText="1"/>
      <protection locked="0"/>
    </xf>
    <xf numFmtId="0" fontId="3" fillId="3" borderId="15" xfId="0" applyFont="1" applyFill="1" applyBorder="1" applyAlignment="1" applyProtection="1">
      <alignment horizontal="center" vertical="center" wrapText="1"/>
      <protection hidden="1"/>
    </xf>
    <xf numFmtId="0" fontId="3" fillId="3" borderId="19" xfId="0" applyFont="1" applyFill="1" applyBorder="1" applyAlignment="1" applyProtection="1">
      <alignment horizontal="center" vertical="center" wrapText="1"/>
      <protection hidden="1"/>
    </xf>
    <xf numFmtId="0" fontId="3" fillId="3" borderId="14" xfId="0" applyFont="1" applyFill="1" applyBorder="1" applyAlignment="1" applyProtection="1">
      <alignment horizontal="center" vertical="center" wrapText="1"/>
      <protection hidden="1"/>
    </xf>
    <xf numFmtId="0" fontId="3" fillId="3" borderId="25" xfId="0" applyFont="1" applyFill="1" applyBorder="1" applyAlignment="1" applyProtection="1">
      <alignment horizontal="center" vertical="center" wrapText="1"/>
      <protection hidden="1"/>
    </xf>
    <xf numFmtId="0" fontId="3" fillId="13" borderId="15" xfId="0" applyFont="1" applyFill="1" applyBorder="1" applyAlignment="1" applyProtection="1">
      <alignment horizontal="center" vertical="center" wrapText="1"/>
      <protection hidden="1"/>
    </xf>
    <xf numFmtId="0" fontId="3" fillId="13" borderId="19" xfId="0" applyFont="1" applyFill="1" applyBorder="1" applyAlignment="1" applyProtection="1">
      <alignment horizontal="center" vertical="center" wrapText="1"/>
      <protection hidden="1"/>
    </xf>
    <xf numFmtId="0" fontId="3" fillId="13" borderId="14" xfId="0" applyFont="1" applyFill="1" applyBorder="1" applyAlignment="1" applyProtection="1">
      <alignment horizontal="center" vertical="center" wrapText="1"/>
      <protection hidden="1"/>
    </xf>
    <xf numFmtId="0" fontId="3" fillId="13" borderId="25" xfId="0" applyFont="1" applyFill="1" applyBorder="1" applyAlignment="1" applyProtection="1">
      <alignment horizontal="center" vertical="center" wrapText="1"/>
      <protection hidden="1"/>
    </xf>
    <xf numFmtId="0" fontId="23" fillId="4" borderId="2" xfId="0" applyFont="1" applyFill="1" applyBorder="1" applyAlignment="1" applyProtection="1">
      <alignment horizontal="center" vertical="center" textRotation="90" wrapText="1"/>
      <protection locked="0"/>
    </xf>
    <xf numFmtId="0" fontId="23" fillId="4" borderId="4" xfId="0" applyFont="1" applyFill="1" applyBorder="1" applyAlignment="1" applyProtection="1">
      <alignment horizontal="center" vertical="center" textRotation="90" wrapText="1"/>
      <protection locked="0"/>
    </xf>
    <xf numFmtId="0" fontId="23" fillId="4" borderId="7" xfId="0" applyFont="1" applyFill="1" applyBorder="1" applyAlignment="1" applyProtection="1">
      <alignment horizontal="center" vertical="center" textRotation="90" wrapText="1"/>
      <protection locked="0"/>
    </xf>
    <xf numFmtId="1" fontId="12" fillId="0" borderId="15" xfId="0" applyNumberFormat="1" applyFont="1" applyBorder="1" applyAlignment="1" applyProtection="1">
      <alignment horizontal="center" vertical="center" wrapText="1"/>
      <protection hidden="1"/>
    </xf>
    <xf numFmtId="0" fontId="12" fillId="0" borderId="15" xfId="0" applyFont="1" applyBorder="1" applyAlignment="1" applyProtection="1">
      <alignment horizontal="center" vertical="center" wrapText="1"/>
      <protection hidden="1"/>
    </xf>
    <xf numFmtId="1" fontId="12" fillId="0" borderId="19" xfId="0" applyNumberFormat="1" applyFont="1" applyBorder="1" applyAlignment="1" applyProtection="1">
      <alignment horizontal="center" vertical="center" wrapText="1"/>
      <protection hidden="1"/>
    </xf>
    <xf numFmtId="1" fontId="12" fillId="0" borderId="14" xfId="0" applyNumberFormat="1" applyFont="1" applyBorder="1" applyAlignment="1" applyProtection="1">
      <alignment horizontal="center" vertical="center" wrapText="1"/>
      <protection hidden="1"/>
    </xf>
    <xf numFmtId="1" fontId="12" fillId="0" borderId="25" xfId="0" applyNumberFormat="1" applyFont="1" applyBorder="1" applyAlignment="1" applyProtection="1">
      <alignment horizontal="center" vertical="center" wrapText="1"/>
      <protection hidden="1"/>
    </xf>
    <xf numFmtId="0" fontId="23" fillId="3" borderId="62" xfId="0" applyFont="1" applyFill="1" applyBorder="1" applyAlignment="1" applyProtection="1">
      <alignment horizontal="center" vertical="center" textRotation="90" wrapText="1"/>
      <protection locked="0"/>
    </xf>
    <xf numFmtId="0" fontId="24" fillId="13" borderId="15" xfId="0" applyFont="1" applyFill="1" applyBorder="1" applyAlignment="1" applyProtection="1">
      <alignment horizontal="center" vertical="center" wrapText="1"/>
      <protection hidden="1"/>
    </xf>
    <xf numFmtId="0" fontId="24" fillId="13" borderId="19" xfId="0" applyFont="1" applyFill="1" applyBorder="1" applyAlignment="1" applyProtection="1">
      <alignment horizontal="center" vertical="center" wrapText="1"/>
      <protection hidden="1"/>
    </xf>
    <xf numFmtId="0" fontId="24" fillId="13" borderId="14" xfId="0" applyFont="1" applyFill="1" applyBorder="1" applyAlignment="1" applyProtection="1">
      <alignment horizontal="center" vertical="center" wrapText="1"/>
      <protection hidden="1"/>
    </xf>
    <xf numFmtId="0" fontId="24" fillId="13" borderId="25" xfId="0" applyFont="1" applyFill="1" applyBorder="1" applyAlignment="1" applyProtection="1">
      <alignment horizontal="center" vertical="center" wrapText="1"/>
      <protection hidden="1"/>
    </xf>
    <xf numFmtId="0" fontId="14" fillId="0" borderId="48" xfId="0" applyFont="1" applyBorder="1" applyAlignment="1" applyProtection="1">
      <alignment horizontal="center" vertical="center" wrapText="1"/>
      <protection hidden="1"/>
    </xf>
    <xf numFmtId="0" fontId="14" fillId="0" borderId="50" xfId="0" applyFont="1" applyBorder="1" applyAlignment="1" applyProtection="1">
      <alignment horizontal="center" vertical="center" wrapText="1"/>
      <protection hidden="1"/>
    </xf>
    <xf numFmtId="0" fontId="14" fillId="0" borderId="52" xfId="0" applyFont="1" applyBorder="1" applyAlignment="1" applyProtection="1">
      <alignment horizontal="center" vertical="center" wrapText="1"/>
      <protection hidden="1"/>
    </xf>
    <xf numFmtId="0" fontId="11" fillId="4" borderId="8" xfId="0" applyFont="1" applyFill="1" applyBorder="1" applyAlignment="1" applyProtection="1">
      <alignment horizontal="center" vertical="center" textRotation="90" wrapText="1"/>
      <protection locked="0"/>
    </xf>
    <xf numFmtId="0" fontId="11" fillId="4" borderId="22" xfId="0" applyFont="1" applyFill="1" applyBorder="1" applyAlignment="1" applyProtection="1">
      <alignment horizontal="center" vertical="center" textRotation="90" wrapText="1"/>
      <protection locked="0"/>
    </xf>
    <xf numFmtId="0" fontId="4" fillId="0" borderId="19" xfId="0" applyFont="1" applyBorder="1" applyAlignment="1" applyProtection="1">
      <alignment horizontal="center" vertical="center" wrapText="1"/>
      <protection hidden="1"/>
    </xf>
    <xf numFmtId="0" fontId="4" fillId="0" borderId="14" xfId="0" applyFont="1" applyBorder="1" applyAlignment="1" applyProtection="1">
      <alignment horizontal="center" vertical="center" wrapText="1"/>
      <protection hidden="1"/>
    </xf>
    <xf numFmtId="0" fontId="4" fillId="0" borderId="25" xfId="0" applyFont="1" applyBorder="1" applyAlignment="1" applyProtection="1">
      <alignment horizontal="center" vertical="center" wrapText="1"/>
      <protection hidden="1"/>
    </xf>
    <xf numFmtId="0" fontId="13" fillId="0" borderId="19" xfId="0" applyFont="1" applyBorder="1" applyAlignment="1" applyProtection="1">
      <alignment horizontal="center" vertical="center" wrapText="1"/>
      <protection hidden="1"/>
    </xf>
    <xf numFmtId="0" fontId="13" fillId="0" borderId="14" xfId="0" applyFont="1" applyBorder="1" applyAlignment="1" applyProtection="1">
      <alignment horizontal="center" vertical="center" wrapText="1"/>
      <protection hidden="1"/>
    </xf>
    <xf numFmtId="0" fontId="13" fillId="0" borderId="25" xfId="0" applyFont="1" applyBorder="1" applyAlignment="1" applyProtection="1">
      <alignment horizontal="center" vertical="center" wrapText="1"/>
      <protection hidden="1"/>
    </xf>
    <xf numFmtId="0" fontId="2" fillId="11" borderId="25" xfId="0" applyFont="1" applyFill="1" applyBorder="1" applyAlignment="1" applyProtection="1">
      <alignment horizontal="center" vertical="center" wrapText="1"/>
      <protection hidden="1"/>
    </xf>
    <xf numFmtId="0" fontId="2" fillId="11" borderId="15" xfId="0" applyFont="1" applyFill="1" applyBorder="1" applyAlignment="1" applyProtection="1">
      <alignment horizontal="center" vertical="center" wrapText="1"/>
      <protection hidden="1"/>
    </xf>
    <xf numFmtId="0" fontId="2" fillId="11" borderId="14" xfId="0" applyFont="1" applyFill="1" applyBorder="1" applyAlignment="1" applyProtection="1">
      <alignment horizontal="center" vertical="center" wrapText="1"/>
      <protection hidden="1"/>
    </xf>
    <xf numFmtId="0" fontId="2" fillId="0" borderId="48" xfId="0" applyFont="1" applyBorder="1" applyAlignment="1" applyProtection="1">
      <alignment horizontal="center" vertical="center" wrapText="1"/>
      <protection hidden="1"/>
    </xf>
    <xf numFmtId="0" fontId="2" fillId="0" borderId="50" xfId="0" applyFont="1" applyBorder="1" applyAlignment="1" applyProtection="1">
      <alignment horizontal="center" vertical="center" wrapText="1"/>
      <protection hidden="1"/>
    </xf>
    <xf numFmtId="0" fontId="2" fillId="0" borderId="52" xfId="0" applyFont="1" applyBorder="1" applyAlignment="1" applyProtection="1">
      <alignment horizontal="center" vertical="center" wrapText="1"/>
      <protection hidden="1"/>
    </xf>
    <xf numFmtId="0" fontId="2" fillId="12" borderId="14" xfId="0" applyFont="1" applyFill="1" applyBorder="1" applyAlignment="1" applyProtection="1">
      <alignment horizontal="center" vertical="center" wrapText="1"/>
      <protection hidden="1"/>
    </xf>
    <xf numFmtId="0" fontId="2" fillId="12" borderId="25" xfId="0" applyFont="1" applyFill="1" applyBorder="1" applyAlignment="1" applyProtection="1">
      <alignment horizontal="center" vertical="center" wrapText="1"/>
      <protection hidden="1"/>
    </xf>
    <xf numFmtId="0" fontId="2" fillId="12" borderId="48" xfId="0" applyFont="1" applyFill="1" applyBorder="1" applyAlignment="1" applyProtection="1">
      <alignment horizontal="center" vertical="center" wrapText="1"/>
      <protection hidden="1"/>
    </xf>
    <xf numFmtId="0" fontId="2" fillId="12" borderId="50" xfId="0" applyFont="1" applyFill="1" applyBorder="1" applyAlignment="1" applyProtection="1">
      <alignment horizontal="center" vertical="center" wrapText="1"/>
      <protection hidden="1"/>
    </xf>
    <xf numFmtId="0" fontId="2" fillId="12" borderId="52" xfId="0" applyFont="1" applyFill="1" applyBorder="1" applyAlignment="1" applyProtection="1">
      <alignment horizontal="center" vertical="center" wrapText="1"/>
      <protection hidden="1"/>
    </xf>
    <xf numFmtId="0" fontId="2" fillId="12" borderId="15" xfId="0" applyFont="1" applyFill="1" applyBorder="1" applyAlignment="1" applyProtection="1">
      <alignment horizontal="center" vertical="center" wrapText="1"/>
      <protection hidden="1"/>
    </xf>
    <xf numFmtId="0" fontId="14" fillId="11" borderId="19" xfId="0" applyFont="1" applyFill="1" applyBorder="1" applyAlignment="1" applyProtection="1">
      <alignment horizontal="center" vertical="center" wrapText="1"/>
      <protection hidden="1"/>
    </xf>
    <xf numFmtId="0" fontId="14" fillId="11" borderId="14" xfId="0" applyFont="1" applyFill="1" applyBorder="1" applyAlignment="1" applyProtection="1">
      <alignment horizontal="center" vertical="center" wrapText="1"/>
      <protection hidden="1"/>
    </xf>
    <xf numFmtId="0" fontId="14" fillId="11" borderId="25" xfId="0" applyFont="1" applyFill="1" applyBorder="1" applyAlignment="1" applyProtection="1">
      <alignment horizontal="center" vertical="center" wrapText="1"/>
      <protection hidden="1"/>
    </xf>
    <xf numFmtId="0" fontId="2" fillId="2" borderId="60" xfId="0" applyFont="1" applyFill="1" applyBorder="1" applyAlignment="1" applyProtection="1">
      <alignment horizontal="center" vertical="center" wrapText="1"/>
      <protection hidden="1"/>
    </xf>
    <xf numFmtId="0" fontId="2" fillId="2" borderId="50" xfId="0" applyFont="1" applyFill="1" applyBorder="1" applyAlignment="1" applyProtection="1">
      <alignment horizontal="center" vertical="center" wrapText="1"/>
      <protection hidden="1"/>
    </xf>
    <xf numFmtId="0" fontId="2" fillId="2" borderId="52" xfId="0" applyFont="1" applyFill="1" applyBorder="1" applyAlignment="1" applyProtection="1">
      <alignment horizontal="center" vertical="center" wrapText="1"/>
      <protection hidden="1"/>
    </xf>
    <xf numFmtId="0" fontId="2" fillId="2" borderId="53" xfId="0" applyFont="1" applyFill="1" applyBorder="1" applyAlignment="1" applyProtection="1">
      <alignment horizontal="center" vertical="center" wrapText="1"/>
      <protection hidden="1"/>
    </xf>
    <xf numFmtId="0" fontId="2" fillId="0" borderId="57" xfId="0" applyFont="1" applyBorder="1" applyAlignment="1" applyProtection="1">
      <alignment horizontal="center" vertical="center" wrapText="1"/>
      <protection hidden="1"/>
    </xf>
    <xf numFmtId="0" fontId="2" fillId="0" borderId="53" xfId="0" applyFont="1" applyBorder="1" applyAlignment="1" applyProtection="1">
      <alignment horizontal="center" vertical="center" wrapText="1"/>
      <protection hidden="1"/>
    </xf>
    <xf numFmtId="0" fontId="2" fillId="11" borderId="19" xfId="0" applyFont="1" applyFill="1" applyBorder="1" applyAlignment="1" applyProtection="1">
      <alignment horizontal="center" vertical="center" wrapText="1"/>
      <protection hidden="1"/>
    </xf>
    <xf numFmtId="0" fontId="2" fillId="0" borderId="59" xfId="0" applyFont="1" applyBorder="1" applyAlignment="1" applyProtection="1">
      <alignment horizontal="center" vertical="center" wrapText="1"/>
      <protection hidden="1"/>
    </xf>
    <xf numFmtId="0" fontId="14" fillId="2" borderId="48" xfId="0" applyFont="1" applyFill="1" applyBorder="1" applyAlignment="1" applyProtection="1">
      <alignment horizontal="center" vertical="center" wrapText="1"/>
      <protection hidden="1"/>
    </xf>
    <xf numFmtId="0" fontId="14" fillId="2" borderId="50" xfId="0" applyFont="1" applyFill="1" applyBorder="1" applyAlignment="1" applyProtection="1">
      <alignment horizontal="center" vertical="center" wrapText="1"/>
      <protection hidden="1"/>
    </xf>
    <xf numFmtId="0" fontId="14" fillId="2" borderId="52" xfId="0" applyFont="1" applyFill="1" applyBorder="1" applyAlignment="1" applyProtection="1">
      <alignment horizontal="center" vertical="center" wrapText="1"/>
      <protection hidden="1"/>
    </xf>
    <xf numFmtId="0" fontId="2" fillId="12" borderId="19" xfId="0" applyFont="1" applyFill="1" applyBorder="1" applyAlignment="1" applyProtection="1">
      <alignment horizontal="center" vertical="center" wrapText="1"/>
      <protection hidden="1"/>
    </xf>
    <xf numFmtId="0" fontId="2" fillId="11" borderId="24" xfId="0" applyFont="1" applyFill="1" applyBorder="1" applyAlignment="1" applyProtection="1">
      <alignment horizontal="center" vertical="center" wrapText="1"/>
      <protection hidden="1"/>
    </xf>
    <xf numFmtId="9" fontId="13" fillId="9" borderId="53" xfId="1" applyFont="1" applyFill="1" applyBorder="1" applyAlignment="1" applyProtection="1">
      <alignment horizontal="center" vertical="center" wrapText="1"/>
      <protection hidden="1"/>
    </xf>
    <xf numFmtId="10" fontId="4" fillId="9" borderId="48" xfId="0" applyNumberFormat="1" applyFont="1" applyFill="1" applyBorder="1" applyAlignment="1" applyProtection="1">
      <alignment horizontal="center" vertical="center" wrapText="1"/>
      <protection hidden="1"/>
    </xf>
    <xf numFmtId="10" fontId="4" fillId="9" borderId="50" xfId="0" applyNumberFormat="1" applyFont="1" applyFill="1" applyBorder="1" applyAlignment="1" applyProtection="1">
      <alignment horizontal="center" vertical="center" wrapText="1"/>
      <protection hidden="1"/>
    </xf>
    <xf numFmtId="10" fontId="4" fillId="9" borderId="52" xfId="0" applyNumberFormat="1" applyFont="1" applyFill="1" applyBorder="1" applyAlignment="1" applyProtection="1">
      <alignment horizontal="center" vertical="center" wrapText="1"/>
      <protection hidden="1"/>
    </xf>
    <xf numFmtId="10" fontId="4" fillId="9" borderId="53" xfId="0" applyNumberFormat="1" applyFont="1" applyFill="1" applyBorder="1" applyAlignment="1" applyProtection="1">
      <alignment horizontal="center" vertical="center" wrapText="1"/>
      <protection hidden="1"/>
    </xf>
    <xf numFmtId="10" fontId="2" fillId="0" borderId="15" xfId="0" applyNumberFormat="1" applyFont="1" applyBorder="1" applyAlignment="1" applyProtection="1">
      <alignment horizontal="center" vertical="center" wrapText="1"/>
      <protection hidden="1"/>
    </xf>
    <xf numFmtId="10" fontId="14" fillId="0" borderId="15" xfId="0" applyNumberFormat="1" applyFont="1" applyBorder="1" applyAlignment="1" applyProtection="1">
      <alignment horizontal="center" vertical="center" wrapText="1"/>
      <protection hidden="1"/>
    </xf>
    <xf numFmtId="10" fontId="14" fillId="0" borderId="79" xfId="0" applyNumberFormat="1" applyFont="1" applyBorder="1" applyAlignment="1" applyProtection="1">
      <alignment horizontal="center" vertical="center" wrapText="1"/>
      <protection hidden="1"/>
    </xf>
    <xf numFmtId="10" fontId="14" fillId="0" borderId="73" xfId="0" applyNumberFormat="1" applyFont="1" applyBorder="1" applyAlignment="1" applyProtection="1">
      <alignment horizontal="center" vertical="center" wrapText="1"/>
      <protection hidden="1"/>
    </xf>
    <xf numFmtId="9" fontId="14" fillId="9" borderId="48" xfId="1" applyFont="1" applyFill="1" applyBorder="1" applyAlignment="1" applyProtection="1">
      <alignment horizontal="center" vertical="center" wrapText="1"/>
      <protection hidden="1"/>
    </xf>
    <xf numFmtId="9" fontId="14" fillId="9" borderId="50" xfId="1" applyFont="1" applyFill="1" applyBorder="1" applyAlignment="1" applyProtection="1">
      <alignment horizontal="center" vertical="center" wrapText="1"/>
      <protection hidden="1"/>
    </xf>
    <xf numFmtId="9" fontId="14" fillId="9" borderId="52" xfId="1" applyFont="1" applyFill="1" applyBorder="1" applyAlignment="1" applyProtection="1">
      <alignment horizontal="center" vertical="center" wrapText="1"/>
      <protection hidden="1"/>
    </xf>
    <xf numFmtId="10" fontId="2" fillId="0" borderId="19" xfId="1" applyNumberFormat="1" applyFont="1" applyFill="1" applyBorder="1" applyAlignment="1" applyProtection="1">
      <alignment horizontal="center" vertical="center" wrapText="1"/>
      <protection hidden="1"/>
    </xf>
    <xf numFmtId="10" fontId="2" fillId="0" borderId="14" xfId="1" applyNumberFormat="1" applyFont="1" applyFill="1" applyBorder="1" applyAlignment="1" applyProtection="1">
      <alignment horizontal="center" vertical="center" wrapText="1"/>
      <protection hidden="1"/>
    </xf>
    <xf numFmtId="10" fontId="2" fillId="0" borderId="25" xfId="1" applyNumberFormat="1" applyFont="1" applyFill="1" applyBorder="1" applyAlignment="1" applyProtection="1">
      <alignment horizontal="center" vertical="center" wrapText="1"/>
      <protection hidden="1"/>
    </xf>
    <xf numFmtId="10" fontId="2" fillId="0" borderId="19" xfId="0" applyNumberFormat="1" applyFont="1" applyBorder="1" applyAlignment="1" applyProtection="1">
      <alignment horizontal="center" vertical="center" wrapText="1"/>
      <protection hidden="1"/>
    </xf>
    <xf numFmtId="10" fontId="2" fillId="0" borderId="14" xfId="0" applyNumberFormat="1" applyFont="1" applyBorder="1" applyAlignment="1" applyProtection="1">
      <alignment horizontal="center" vertical="center" wrapText="1"/>
      <protection hidden="1"/>
    </xf>
    <xf numFmtId="10" fontId="2" fillId="0" borderId="25" xfId="0" applyNumberFormat="1" applyFont="1" applyBorder="1" applyAlignment="1" applyProtection="1">
      <alignment horizontal="center" vertical="center" wrapText="1"/>
      <protection hidden="1"/>
    </xf>
    <xf numFmtId="10" fontId="13" fillId="9" borderId="48" xfId="0" applyNumberFormat="1" applyFont="1" applyFill="1" applyBorder="1" applyAlignment="1" applyProtection="1">
      <alignment horizontal="center" vertical="center" wrapText="1"/>
      <protection hidden="1"/>
    </xf>
    <xf numFmtId="10" fontId="13" fillId="9" borderId="50" xfId="0" applyNumberFormat="1" applyFont="1" applyFill="1" applyBorder="1" applyAlignment="1" applyProtection="1">
      <alignment horizontal="center" vertical="center" wrapText="1"/>
      <protection hidden="1"/>
    </xf>
    <xf numFmtId="10" fontId="13" fillId="9" borderId="83" xfId="0" applyNumberFormat="1" applyFont="1" applyFill="1" applyBorder="1" applyAlignment="1" applyProtection="1">
      <alignment horizontal="center" vertical="center" wrapText="1"/>
      <protection hidden="1"/>
    </xf>
    <xf numFmtId="10" fontId="13" fillId="9" borderId="60" xfId="0" applyNumberFormat="1" applyFont="1" applyFill="1" applyBorder="1" applyAlignment="1" applyProtection="1">
      <alignment horizontal="center" vertical="center" wrapText="1"/>
      <protection hidden="1"/>
    </xf>
    <xf numFmtId="10" fontId="13" fillId="9" borderId="52" xfId="0" applyNumberFormat="1" applyFont="1" applyFill="1" applyBorder="1" applyAlignment="1" applyProtection="1">
      <alignment horizontal="center" vertical="center" wrapText="1"/>
      <protection hidden="1"/>
    </xf>
    <xf numFmtId="9" fontId="13" fillId="9" borderId="48" xfId="1" applyFont="1" applyFill="1" applyBorder="1" applyAlignment="1" applyProtection="1">
      <alignment horizontal="center" vertical="center" wrapText="1"/>
      <protection hidden="1"/>
    </xf>
    <xf numFmtId="9" fontId="13" fillId="9" borderId="50" xfId="1" applyFont="1" applyFill="1" applyBorder="1" applyAlignment="1" applyProtection="1">
      <alignment horizontal="center" vertical="center" wrapText="1"/>
      <protection hidden="1"/>
    </xf>
    <xf numFmtId="9" fontId="13" fillId="9" borderId="52" xfId="1" applyFont="1" applyFill="1" applyBorder="1" applyAlignment="1" applyProtection="1">
      <alignment horizontal="center" vertical="center" wrapText="1"/>
      <protection hidden="1"/>
    </xf>
    <xf numFmtId="10" fontId="2" fillId="9" borderId="48" xfId="1" applyNumberFormat="1" applyFont="1" applyFill="1" applyBorder="1" applyAlignment="1" applyProtection="1">
      <alignment horizontal="center" vertical="center" wrapText="1"/>
      <protection hidden="1"/>
    </xf>
    <xf numFmtId="10" fontId="2" fillId="9" borderId="50" xfId="1" applyNumberFormat="1" applyFont="1" applyFill="1" applyBorder="1" applyAlignment="1" applyProtection="1">
      <alignment horizontal="center" vertical="center" wrapText="1"/>
      <protection hidden="1"/>
    </xf>
    <xf numFmtId="10" fontId="2" fillId="9" borderId="52" xfId="1" applyNumberFormat="1" applyFont="1" applyFill="1" applyBorder="1" applyAlignment="1" applyProtection="1">
      <alignment horizontal="center" vertical="center" wrapText="1"/>
      <protection hidden="1"/>
    </xf>
    <xf numFmtId="9" fontId="14" fillId="0" borderId="19" xfId="1" applyFont="1" applyFill="1" applyBorder="1" applyAlignment="1" applyProtection="1">
      <alignment horizontal="center" vertical="center" wrapText="1"/>
      <protection hidden="1"/>
    </xf>
    <xf numFmtId="9" fontId="14" fillId="0" borderId="14" xfId="1" applyFont="1" applyFill="1" applyBorder="1" applyAlignment="1" applyProtection="1">
      <alignment horizontal="center" vertical="center" wrapText="1"/>
      <protection hidden="1"/>
    </xf>
    <xf numFmtId="9" fontId="14" fillId="0" borderId="25" xfId="1" applyFont="1" applyFill="1" applyBorder="1" applyAlignment="1" applyProtection="1">
      <alignment horizontal="center" vertical="center" wrapText="1"/>
      <protection hidden="1"/>
    </xf>
    <xf numFmtId="10" fontId="6" fillId="9" borderId="53" xfId="1" applyNumberFormat="1" applyFont="1" applyFill="1" applyBorder="1" applyAlignment="1" applyProtection="1">
      <alignment horizontal="center" vertical="center" wrapText="1"/>
      <protection hidden="1"/>
    </xf>
    <xf numFmtId="10" fontId="2" fillId="9" borderId="53" xfId="0" applyNumberFormat="1" applyFont="1" applyFill="1" applyBorder="1" applyAlignment="1" applyProtection="1">
      <alignment horizontal="center" vertical="center" wrapText="1"/>
      <protection hidden="1"/>
    </xf>
    <xf numFmtId="10" fontId="2" fillId="10" borderId="53" xfId="0" applyNumberFormat="1" applyFont="1" applyFill="1" applyBorder="1" applyAlignment="1" applyProtection="1">
      <alignment horizontal="center" vertical="center" wrapText="1"/>
      <protection hidden="1"/>
    </xf>
    <xf numFmtId="10" fontId="14" fillId="0" borderId="19" xfId="1" applyNumberFormat="1" applyFont="1" applyFill="1" applyBorder="1" applyAlignment="1" applyProtection="1">
      <alignment horizontal="center" vertical="center" wrapText="1"/>
      <protection hidden="1"/>
    </xf>
    <xf numFmtId="10" fontId="14" fillId="0" borderId="14" xfId="1" applyNumberFormat="1" applyFont="1" applyFill="1" applyBorder="1" applyAlignment="1" applyProtection="1">
      <alignment horizontal="center" vertical="center" wrapText="1"/>
      <protection hidden="1"/>
    </xf>
    <xf numFmtId="10" fontId="14" fillId="0" borderId="25" xfId="1" applyNumberFormat="1" applyFont="1" applyFill="1" applyBorder="1" applyAlignment="1" applyProtection="1">
      <alignment horizontal="center" vertical="center" wrapText="1"/>
      <protection hidden="1"/>
    </xf>
    <xf numFmtId="9" fontId="14" fillId="0" borderId="15" xfId="1" applyFont="1" applyFill="1" applyBorder="1" applyAlignment="1" applyProtection="1">
      <alignment horizontal="center" vertical="center" wrapText="1"/>
      <protection hidden="1"/>
    </xf>
    <xf numFmtId="9" fontId="13" fillId="9" borderId="57" xfId="1" applyFont="1" applyFill="1" applyBorder="1" applyAlignment="1" applyProtection="1">
      <alignment horizontal="center" vertical="center" wrapText="1"/>
      <protection hidden="1"/>
    </xf>
    <xf numFmtId="10" fontId="6" fillId="0" borderId="15" xfId="1" applyNumberFormat="1" applyFont="1" applyFill="1" applyBorder="1" applyAlignment="1" applyProtection="1">
      <alignment horizontal="center" vertical="center" wrapText="1"/>
      <protection hidden="1"/>
    </xf>
    <xf numFmtId="10" fontId="6" fillId="9" borderId="48" xfId="1" applyNumberFormat="1" applyFont="1" applyFill="1" applyBorder="1" applyAlignment="1" applyProtection="1">
      <alignment horizontal="center" vertical="center" wrapText="1"/>
      <protection hidden="1"/>
    </xf>
    <xf numFmtId="10" fontId="6" fillId="9" borderId="50" xfId="1" applyNumberFormat="1" applyFont="1" applyFill="1" applyBorder="1" applyAlignment="1" applyProtection="1">
      <alignment horizontal="center" vertical="center" wrapText="1"/>
      <protection hidden="1"/>
    </xf>
    <xf numFmtId="10" fontId="6" fillId="9" borderId="52" xfId="1" applyNumberFormat="1" applyFont="1" applyFill="1" applyBorder="1" applyAlignment="1" applyProtection="1">
      <alignment horizontal="center" vertical="center" wrapText="1"/>
      <protection hidden="1"/>
    </xf>
    <xf numFmtId="10" fontId="6" fillId="0" borderId="19" xfId="1" applyNumberFormat="1" applyFont="1" applyFill="1" applyBorder="1" applyAlignment="1" applyProtection="1">
      <alignment horizontal="center" vertical="center" wrapText="1"/>
      <protection hidden="1"/>
    </xf>
    <xf numFmtId="10" fontId="6" fillId="0" borderId="14" xfId="1" applyNumberFormat="1" applyFont="1" applyFill="1" applyBorder="1" applyAlignment="1" applyProtection="1">
      <alignment horizontal="center" vertical="center" wrapText="1"/>
      <protection hidden="1"/>
    </xf>
    <xf numFmtId="10" fontId="6" fillId="0" borderId="25" xfId="1" applyNumberFormat="1" applyFont="1" applyFill="1" applyBorder="1" applyAlignment="1" applyProtection="1">
      <alignment horizontal="center" vertical="center" wrapText="1"/>
      <protection hidden="1"/>
    </xf>
    <xf numFmtId="10" fontId="2" fillId="0" borderId="12" xfId="1" applyNumberFormat="1" applyFont="1" applyFill="1" applyBorder="1" applyAlignment="1" applyProtection="1">
      <alignment horizontal="center" vertical="center" wrapText="1"/>
      <protection hidden="1"/>
    </xf>
    <xf numFmtId="10" fontId="2" fillId="0" borderId="16" xfId="1" applyNumberFormat="1" applyFont="1" applyFill="1" applyBorder="1" applyAlignment="1" applyProtection="1">
      <alignment horizontal="center" vertical="center" wrapText="1"/>
      <protection hidden="1"/>
    </xf>
    <xf numFmtId="10" fontId="2" fillId="0" borderId="17" xfId="1" applyNumberFormat="1" applyFont="1" applyFill="1" applyBorder="1" applyAlignment="1" applyProtection="1">
      <alignment horizontal="center" vertical="center" wrapText="1"/>
      <protection hidden="1"/>
    </xf>
    <xf numFmtId="10" fontId="14" fillId="9" borderId="48" xfId="1" applyNumberFormat="1" applyFont="1" applyFill="1" applyBorder="1" applyAlignment="1" applyProtection="1">
      <alignment horizontal="center" vertical="center" wrapText="1"/>
      <protection hidden="1"/>
    </xf>
    <xf numFmtId="10" fontId="14" fillId="9" borderId="50" xfId="1" applyNumberFormat="1" applyFont="1" applyFill="1" applyBorder="1" applyAlignment="1" applyProtection="1">
      <alignment horizontal="center" vertical="center" wrapText="1"/>
      <protection hidden="1"/>
    </xf>
    <xf numFmtId="10" fontId="14" fillId="9" borderId="52" xfId="1" applyNumberFormat="1" applyFont="1" applyFill="1" applyBorder="1" applyAlignment="1" applyProtection="1">
      <alignment horizontal="center" vertical="center" wrapText="1"/>
      <protection hidden="1"/>
    </xf>
    <xf numFmtId="9" fontId="14" fillId="0" borderId="48" xfId="1" applyFont="1" applyFill="1" applyBorder="1" applyAlignment="1" applyProtection="1">
      <alignment horizontal="center" vertical="center" wrapText="1"/>
      <protection hidden="1"/>
    </xf>
    <xf numFmtId="9" fontId="14" fillId="0" borderId="50" xfId="1" applyFont="1" applyFill="1" applyBorder="1" applyAlignment="1" applyProtection="1">
      <alignment horizontal="center" vertical="center" wrapText="1"/>
      <protection hidden="1"/>
    </xf>
    <xf numFmtId="9" fontId="14" fillId="0" borderId="52" xfId="1" applyFont="1" applyFill="1" applyBorder="1" applyAlignment="1" applyProtection="1">
      <alignment horizontal="center" vertical="center" wrapText="1"/>
      <protection hidden="1"/>
    </xf>
    <xf numFmtId="0" fontId="13" fillId="9" borderId="53" xfId="0" applyFont="1" applyFill="1" applyBorder="1" applyAlignment="1" applyProtection="1">
      <alignment horizontal="center" vertical="center" wrapText="1"/>
      <protection locked="0"/>
    </xf>
    <xf numFmtId="0" fontId="13" fillId="9" borderId="48" xfId="0" applyFont="1" applyFill="1" applyBorder="1" applyAlignment="1" applyProtection="1">
      <alignment horizontal="center" vertical="center" wrapText="1"/>
      <protection locked="0"/>
    </xf>
    <xf numFmtId="0" fontId="13" fillId="9" borderId="50" xfId="0" applyFont="1" applyFill="1" applyBorder="1" applyAlignment="1" applyProtection="1">
      <alignment horizontal="center" vertical="center" wrapText="1"/>
      <protection locked="0"/>
    </xf>
    <xf numFmtId="0" fontId="13" fillId="9" borderId="52" xfId="0" applyFont="1" applyFill="1" applyBorder="1" applyAlignment="1" applyProtection="1">
      <alignment horizontal="center" vertical="center" wrapText="1"/>
      <protection locked="0"/>
    </xf>
    <xf numFmtId="0" fontId="11" fillId="5" borderId="8" xfId="0" applyFont="1" applyFill="1" applyBorder="1" applyAlignment="1" applyProtection="1">
      <alignment horizontal="center" vertical="center" wrapText="1"/>
      <protection locked="0"/>
    </xf>
    <xf numFmtId="0" fontId="11" fillId="5" borderId="22" xfId="0" applyFont="1" applyFill="1" applyBorder="1" applyAlignment="1" applyProtection="1">
      <alignment horizontal="center" vertical="center" wrapText="1"/>
      <protection locked="0"/>
    </xf>
    <xf numFmtId="0" fontId="11" fillId="5" borderId="43" xfId="0" applyFont="1" applyFill="1" applyBorder="1" applyAlignment="1" applyProtection="1">
      <alignment horizontal="center" vertical="center" wrapText="1"/>
      <protection locked="0"/>
    </xf>
    <xf numFmtId="0" fontId="15" fillId="0" borderId="15" xfId="0" applyFont="1" applyBorder="1" applyAlignment="1" applyProtection="1">
      <alignment horizontal="center" vertical="center" wrapText="1"/>
      <protection locked="0"/>
    </xf>
    <xf numFmtId="0" fontId="15" fillId="9" borderId="47" xfId="0" applyFont="1" applyFill="1" applyBorder="1" applyAlignment="1" applyProtection="1">
      <alignment horizontal="center" vertical="center" wrapText="1"/>
      <protection locked="0"/>
    </xf>
    <xf numFmtId="0" fontId="15" fillId="9" borderId="49" xfId="0" applyFont="1" applyFill="1" applyBorder="1" applyAlignment="1" applyProtection="1">
      <alignment horizontal="center" vertical="center" wrapText="1"/>
      <protection locked="0"/>
    </xf>
    <xf numFmtId="0" fontId="15" fillId="9" borderId="51" xfId="0" applyFont="1" applyFill="1" applyBorder="1" applyAlignment="1" applyProtection="1">
      <alignment horizontal="center" vertical="center" wrapText="1"/>
      <protection locked="0"/>
    </xf>
    <xf numFmtId="0" fontId="15" fillId="9" borderId="53" xfId="0" applyFont="1" applyFill="1" applyBorder="1" applyAlignment="1" applyProtection="1">
      <alignment horizontal="center" vertical="center" wrapText="1"/>
      <protection locked="0"/>
    </xf>
    <xf numFmtId="0" fontId="15" fillId="9" borderId="44" xfId="0" applyFont="1" applyFill="1" applyBorder="1" applyAlignment="1" applyProtection="1">
      <alignment horizontal="center" vertical="center" wrapText="1"/>
      <protection locked="0"/>
    </xf>
    <xf numFmtId="0" fontId="15" fillId="9" borderId="45" xfId="0" applyFont="1" applyFill="1" applyBorder="1" applyAlignment="1" applyProtection="1">
      <alignment horizontal="center" vertical="center" wrapText="1"/>
      <protection locked="0"/>
    </xf>
    <xf numFmtId="0" fontId="15" fillId="9" borderId="46" xfId="0" applyFont="1" applyFill="1" applyBorder="1" applyAlignment="1" applyProtection="1">
      <alignment horizontal="center" vertical="center" wrapText="1"/>
      <protection locked="0"/>
    </xf>
    <xf numFmtId="0" fontId="15" fillId="0" borderId="35" xfId="0" applyFont="1" applyBorder="1" applyAlignment="1" applyProtection="1">
      <alignment horizontal="center" vertical="center" wrapText="1"/>
      <protection locked="0"/>
    </xf>
    <xf numFmtId="0" fontId="15" fillId="9" borderId="57" xfId="0" applyFont="1" applyFill="1" applyBorder="1" applyAlignment="1" applyProtection="1">
      <alignment horizontal="center" vertical="center" wrapText="1"/>
      <protection locked="0"/>
    </xf>
    <xf numFmtId="0" fontId="13" fillId="0" borderId="19" xfId="0" applyFont="1" applyBorder="1" applyAlignment="1" applyProtection="1">
      <alignment horizontal="center" vertical="center" wrapText="1"/>
      <protection locked="0"/>
    </xf>
    <xf numFmtId="0" fontId="13" fillId="0" borderId="14" xfId="0" applyFont="1" applyBorder="1" applyAlignment="1" applyProtection="1">
      <alignment horizontal="center" vertical="center" wrapText="1"/>
      <protection locked="0"/>
    </xf>
    <xf numFmtId="0" fontId="13" fillId="0" borderId="25" xfId="0" applyFont="1" applyBorder="1" applyAlignment="1" applyProtection="1">
      <alignment horizontal="center" vertical="center" wrapText="1"/>
      <protection locked="0"/>
    </xf>
    <xf numFmtId="0" fontId="3" fillId="5" borderId="8" xfId="0" applyFont="1" applyFill="1" applyBorder="1" applyAlignment="1" applyProtection="1">
      <alignment horizontal="center" vertical="center" wrapText="1"/>
      <protection locked="0"/>
    </xf>
    <xf numFmtId="0" fontId="3" fillId="5" borderId="22" xfId="0" applyFont="1" applyFill="1" applyBorder="1" applyAlignment="1" applyProtection="1">
      <alignment horizontal="center" vertical="center" wrapText="1"/>
      <protection locked="0"/>
    </xf>
    <xf numFmtId="0" fontId="3" fillId="5" borderId="43" xfId="0" applyFont="1" applyFill="1" applyBorder="1" applyAlignment="1" applyProtection="1">
      <alignment horizontal="center" vertical="center" wrapText="1"/>
      <protection locked="0"/>
    </xf>
    <xf numFmtId="0" fontId="15" fillId="9" borderId="48" xfId="0" applyFont="1" applyFill="1" applyBorder="1" applyAlignment="1" applyProtection="1">
      <alignment horizontal="center" vertical="center" wrapText="1"/>
      <protection locked="0"/>
    </xf>
    <xf numFmtId="0" fontId="15" fillId="9" borderId="50" xfId="0" applyFont="1" applyFill="1" applyBorder="1" applyAlignment="1" applyProtection="1">
      <alignment horizontal="center" vertical="center" wrapText="1"/>
      <protection locked="0"/>
    </xf>
    <xf numFmtId="0" fontId="15" fillId="9" borderId="52" xfId="0" applyFont="1" applyFill="1" applyBorder="1" applyAlignment="1" applyProtection="1">
      <alignment horizontal="center" vertical="center" wrapText="1"/>
      <protection locked="0"/>
    </xf>
    <xf numFmtId="0" fontId="15" fillId="0" borderId="36" xfId="0" applyFont="1" applyBorder="1" applyAlignment="1" applyProtection="1">
      <alignment horizontal="center" vertical="center" wrapText="1"/>
      <protection locked="0"/>
    </xf>
    <xf numFmtId="0" fontId="15" fillId="0" borderId="25" xfId="0" applyFont="1" applyBorder="1" applyAlignment="1" applyProtection="1">
      <alignment horizontal="center" vertical="center" wrapText="1"/>
      <protection locked="0"/>
    </xf>
    <xf numFmtId="0" fontId="13" fillId="2" borderId="19" xfId="0" applyFont="1" applyFill="1" applyBorder="1" applyAlignment="1" applyProtection="1">
      <alignment horizontal="center" vertical="center" wrapText="1"/>
      <protection locked="0"/>
    </xf>
    <xf numFmtId="0" fontId="13" fillId="2" borderId="14" xfId="0" applyFont="1" applyFill="1" applyBorder="1" applyAlignment="1" applyProtection="1">
      <alignment horizontal="center" vertical="center" wrapText="1"/>
      <protection locked="0"/>
    </xf>
    <xf numFmtId="0" fontId="13" fillId="2" borderId="25" xfId="0" applyFont="1" applyFill="1" applyBorder="1" applyAlignment="1" applyProtection="1">
      <alignment horizontal="center" vertical="center" wrapText="1"/>
      <protection locked="0"/>
    </xf>
    <xf numFmtId="0" fontId="15" fillId="14" borderId="15" xfId="0" applyFont="1" applyFill="1" applyBorder="1" applyAlignment="1" applyProtection="1">
      <alignment horizontal="center" vertical="center" wrapText="1"/>
      <protection locked="0"/>
    </xf>
    <xf numFmtId="0" fontId="15" fillId="2" borderId="19" xfId="0" applyFont="1" applyFill="1" applyBorder="1" applyAlignment="1" applyProtection="1">
      <alignment horizontal="center" vertical="center" wrapText="1"/>
      <protection locked="0"/>
    </xf>
    <xf numFmtId="0" fontId="15" fillId="2" borderId="14" xfId="0" applyFont="1" applyFill="1" applyBorder="1" applyAlignment="1" applyProtection="1">
      <alignment horizontal="center" vertical="center" wrapText="1"/>
      <protection locked="0"/>
    </xf>
    <xf numFmtId="0" fontId="15" fillId="2" borderId="25" xfId="0" applyFont="1" applyFill="1" applyBorder="1" applyAlignment="1" applyProtection="1">
      <alignment horizontal="center" vertical="center" wrapText="1"/>
      <protection locked="0"/>
    </xf>
    <xf numFmtId="0" fontId="15" fillId="2" borderId="15" xfId="0" applyFont="1" applyFill="1" applyBorder="1" applyAlignment="1" applyProtection="1">
      <alignment horizontal="center" vertical="center" wrapText="1"/>
      <protection locked="0"/>
    </xf>
    <xf numFmtId="0" fontId="13" fillId="2" borderId="12" xfId="0" applyFont="1" applyFill="1" applyBorder="1" applyAlignment="1" applyProtection="1">
      <alignment horizontal="center" vertical="center" wrapText="1"/>
      <protection locked="0"/>
    </xf>
    <xf numFmtId="0" fontId="13" fillId="2" borderId="16" xfId="0" applyFont="1" applyFill="1" applyBorder="1" applyAlignment="1" applyProtection="1">
      <alignment horizontal="center" vertical="center" wrapText="1"/>
      <protection locked="0"/>
    </xf>
    <xf numFmtId="0" fontId="13" fillId="2" borderId="17" xfId="0" applyFont="1" applyFill="1" applyBorder="1" applyAlignment="1" applyProtection="1">
      <alignment horizontal="center" vertical="center" wrapText="1"/>
      <protection locked="0"/>
    </xf>
    <xf numFmtId="0" fontId="3" fillId="5" borderId="1" xfId="0" applyFont="1" applyFill="1" applyBorder="1" applyAlignment="1" applyProtection="1">
      <alignment horizontal="center" vertical="center" wrapText="1"/>
      <protection locked="0"/>
    </xf>
    <xf numFmtId="0" fontId="15" fillId="14" borderId="19" xfId="0" applyFont="1" applyFill="1" applyBorder="1" applyAlignment="1" applyProtection="1">
      <alignment horizontal="center" vertical="center" wrapText="1"/>
      <protection locked="0"/>
    </xf>
    <xf numFmtId="0" fontId="15" fillId="14" borderId="14" xfId="0" applyFont="1" applyFill="1" applyBorder="1" applyAlignment="1" applyProtection="1">
      <alignment horizontal="center" vertical="center" wrapText="1"/>
      <protection locked="0"/>
    </xf>
    <xf numFmtId="0" fontId="15" fillId="14" borderId="25" xfId="0" applyFont="1" applyFill="1" applyBorder="1" applyAlignment="1" applyProtection="1">
      <alignment horizontal="center" vertical="center" wrapText="1"/>
      <protection locked="0"/>
    </xf>
    <xf numFmtId="0" fontId="13" fillId="14" borderId="15" xfId="0" applyFont="1" applyFill="1" applyBorder="1" applyAlignment="1" applyProtection="1">
      <alignment horizontal="center" vertical="center" wrapText="1"/>
      <protection locked="0"/>
    </xf>
    <xf numFmtId="0" fontId="15" fillId="0" borderId="19" xfId="0" applyFont="1" applyBorder="1" applyAlignment="1" applyProtection="1">
      <alignment horizontal="center" vertical="center" wrapText="1"/>
      <protection locked="0"/>
    </xf>
    <xf numFmtId="0" fontId="15" fillId="0" borderId="14" xfId="0" applyFont="1" applyBorder="1" applyAlignment="1" applyProtection="1">
      <alignment horizontal="center" vertical="center" wrapText="1"/>
      <protection locked="0"/>
    </xf>
    <xf numFmtId="0" fontId="13" fillId="0" borderId="26" xfId="0" applyFont="1" applyBorder="1" applyAlignment="1" applyProtection="1">
      <alignment horizontal="center" vertical="center" wrapText="1"/>
      <protection locked="0"/>
    </xf>
    <xf numFmtId="0" fontId="3" fillId="5" borderId="6" xfId="0" applyFont="1" applyFill="1" applyBorder="1" applyAlignment="1" applyProtection="1">
      <alignment horizontal="center" vertical="center" wrapText="1"/>
      <protection locked="0"/>
    </xf>
    <xf numFmtId="0" fontId="19" fillId="3" borderId="15" xfId="0" applyFont="1" applyFill="1" applyBorder="1" applyAlignment="1" applyProtection="1">
      <alignment horizontal="center" vertical="center" textRotation="90" wrapText="1"/>
      <protection locked="0"/>
    </xf>
    <xf numFmtId="0" fontId="3" fillId="3" borderId="12" xfId="0" applyFont="1" applyFill="1" applyBorder="1" applyAlignment="1" applyProtection="1">
      <alignment horizontal="center" vertical="center" wrapText="1"/>
      <protection hidden="1"/>
    </xf>
    <xf numFmtId="0" fontId="3" fillId="3" borderId="16" xfId="0" applyFont="1" applyFill="1" applyBorder="1" applyAlignment="1" applyProtection="1">
      <alignment horizontal="center" vertical="center" wrapText="1"/>
      <protection hidden="1"/>
    </xf>
    <xf numFmtId="0" fontId="3" fillId="3" borderId="17" xfId="0" applyFont="1" applyFill="1" applyBorder="1" applyAlignment="1" applyProtection="1">
      <alignment horizontal="center" vertical="center" wrapText="1"/>
      <protection hidden="1"/>
    </xf>
    <xf numFmtId="0" fontId="3" fillId="3" borderId="24" xfId="0" applyFont="1" applyFill="1" applyBorder="1" applyAlignment="1" applyProtection="1">
      <alignment horizontal="center" vertical="center" wrapText="1"/>
      <protection hidden="1"/>
    </xf>
    <xf numFmtId="0" fontId="13" fillId="6" borderId="32" xfId="0" applyFont="1" applyFill="1" applyBorder="1" applyAlignment="1" applyProtection="1">
      <alignment horizontal="center" vertical="center" textRotation="90" wrapText="1"/>
      <protection locked="0"/>
    </xf>
    <xf numFmtId="0" fontId="13" fillId="6" borderId="5" xfId="0" applyFont="1" applyFill="1" applyBorder="1" applyAlignment="1" applyProtection="1">
      <alignment horizontal="center" vertical="center" textRotation="90" wrapText="1"/>
      <protection locked="0"/>
    </xf>
    <xf numFmtId="0" fontId="13" fillId="6" borderId="34" xfId="0" applyFont="1" applyFill="1" applyBorder="1" applyAlignment="1" applyProtection="1">
      <alignment horizontal="center" vertical="center" textRotation="90" wrapText="1"/>
      <protection locked="0"/>
    </xf>
    <xf numFmtId="0" fontId="13" fillId="0" borderId="24" xfId="0" applyFont="1" applyBorder="1" applyAlignment="1" applyProtection="1">
      <alignment horizontal="center" vertical="center" wrapText="1"/>
      <protection hidden="1"/>
    </xf>
    <xf numFmtId="0" fontId="13" fillId="0" borderId="17" xfId="0" applyFont="1" applyBorder="1" applyAlignment="1" applyProtection="1">
      <alignment horizontal="center" vertical="center" wrapText="1"/>
      <protection hidden="1"/>
    </xf>
    <xf numFmtId="0" fontId="13" fillId="0" borderId="15" xfId="0" applyFont="1" applyBorder="1" applyAlignment="1" applyProtection="1">
      <alignment horizontal="center" vertical="center" wrapText="1"/>
      <protection hidden="1"/>
    </xf>
    <xf numFmtId="0" fontId="13" fillId="6" borderId="3" xfId="0" applyFont="1" applyFill="1" applyBorder="1" applyAlignment="1" applyProtection="1">
      <alignment horizontal="center" vertical="center" textRotation="90" wrapText="1"/>
      <protection locked="0"/>
    </xf>
    <xf numFmtId="0" fontId="13" fillId="6" borderId="1" xfId="0" applyFont="1" applyFill="1" applyBorder="1" applyAlignment="1" applyProtection="1">
      <alignment horizontal="center" vertical="center" textRotation="90" wrapText="1"/>
      <protection locked="0"/>
    </xf>
    <xf numFmtId="0" fontId="13" fillId="6" borderId="8" xfId="0" applyFont="1" applyFill="1" applyBorder="1" applyAlignment="1" applyProtection="1">
      <alignment horizontal="center" vertical="center" textRotation="90" wrapText="1"/>
      <protection locked="0"/>
    </xf>
    <xf numFmtId="0" fontId="13" fillId="6" borderId="31" xfId="0" applyFont="1" applyFill="1" applyBorder="1" applyAlignment="1" applyProtection="1">
      <alignment horizontal="center" vertical="center" textRotation="90" wrapText="1"/>
      <protection locked="0"/>
    </xf>
    <xf numFmtId="0" fontId="13" fillId="6" borderId="6" xfId="0" applyFont="1" applyFill="1" applyBorder="1" applyAlignment="1" applyProtection="1">
      <alignment horizontal="center" vertical="center" textRotation="90" wrapText="1"/>
      <protection locked="0"/>
    </xf>
    <xf numFmtId="0" fontId="13" fillId="6" borderId="33" xfId="0" applyFont="1" applyFill="1" applyBorder="1" applyAlignment="1" applyProtection="1">
      <alignment horizontal="center" vertical="center" textRotation="90" wrapText="1"/>
      <protection locked="0"/>
    </xf>
    <xf numFmtId="0" fontId="3" fillId="3" borderId="15" xfId="0" applyFont="1" applyFill="1" applyBorder="1" applyAlignment="1" applyProtection="1">
      <alignment horizontal="center" vertical="center" textRotation="90" wrapText="1"/>
      <protection locked="0"/>
    </xf>
    <xf numFmtId="0" fontId="13" fillId="0" borderId="30" xfId="0" applyFont="1" applyBorder="1" applyAlignment="1" applyProtection="1">
      <alignment horizontal="center" vertical="center" wrapText="1"/>
      <protection locked="0"/>
    </xf>
    <xf numFmtId="0" fontId="3" fillId="3" borderId="36" xfId="0" applyFont="1" applyFill="1" applyBorder="1" applyAlignment="1" applyProtection="1">
      <alignment horizontal="center" vertical="center" wrapText="1"/>
      <protection hidden="1"/>
    </xf>
    <xf numFmtId="0" fontId="3" fillId="3" borderId="29" xfId="0" applyFont="1" applyFill="1" applyBorder="1" applyAlignment="1" applyProtection="1">
      <alignment horizontal="center" vertical="center" wrapText="1"/>
      <protection hidden="1"/>
    </xf>
    <xf numFmtId="0" fontId="3" fillId="3" borderId="30" xfId="0" applyFont="1" applyFill="1" applyBorder="1" applyAlignment="1" applyProtection="1">
      <alignment horizontal="center" vertical="center" wrapText="1"/>
      <protection hidden="1"/>
    </xf>
    <xf numFmtId="0" fontId="3" fillId="3" borderId="35" xfId="0" applyFont="1" applyFill="1" applyBorder="1" applyAlignment="1" applyProtection="1">
      <alignment horizontal="center" vertical="center" wrapText="1"/>
      <protection hidden="1"/>
    </xf>
    <xf numFmtId="0" fontId="13" fillId="6" borderId="21" xfId="0" applyFont="1" applyFill="1" applyBorder="1" applyAlignment="1" applyProtection="1">
      <alignment horizontal="center" vertical="center" textRotation="90" wrapText="1"/>
      <protection locked="0"/>
    </xf>
    <xf numFmtId="0" fontId="13" fillId="6" borderId="23" xfId="0" applyFont="1" applyFill="1" applyBorder="1" applyAlignment="1" applyProtection="1">
      <alignment horizontal="center" vertical="center" textRotation="90" wrapText="1"/>
      <protection locked="0"/>
    </xf>
    <xf numFmtId="0" fontId="15" fillId="0" borderId="24" xfId="0" applyFont="1" applyBorder="1" applyAlignment="1" applyProtection="1">
      <alignment horizontal="center" vertical="center" wrapText="1"/>
      <protection hidden="1"/>
    </xf>
    <xf numFmtId="0" fontId="15" fillId="0" borderId="19" xfId="0" applyFont="1" applyBorder="1" applyAlignment="1" applyProtection="1">
      <alignment horizontal="center" vertical="center" wrapText="1"/>
      <protection hidden="1"/>
    </xf>
    <xf numFmtId="0" fontId="15" fillId="0" borderId="14" xfId="0" applyFont="1" applyBorder="1" applyAlignment="1" applyProtection="1">
      <alignment horizontal="center" vertical="center" wrapText="1"/>
      <protection hidden="1"/>
    </xf>
    <xf numFmtId="0" fontId="15" fillId="0" borderId="25" xfId="0" applyFont="1" applyBorder="1" applyAlignment="1" applyProtection="1">
      <alignment horizontal="center" vertical="center" wrapText="1"/>
      <protection hidden="1"/>
    </xf>
    <xf numFmtId="0" fontId="15" fillId="0" borderId="1" xfId="0" applyFont="1" applyBorder="1" applyAlignment="1" applyProtection="1">
      <alignment horizontal="center" vertical="center" wrapText="1"/>
      <protection hidden="1"/>
    </xf>
    <xf numFmtId="0" fontId="13" fillId="6" borderId="20" xfId="0" applyFont="1" applyFill="1" applyBorder="1" applyAlignment="1" applyProtection="1">
      <alignment horizontal="center" vertical="center" textRotation="90" wrapText="1"/>
      <protection locked="0"/>
    </xf>
    <xf numFmtId="0" fontId="13" fillId="6" borderId="22" xfId="0" applyFont="1" applyFill="1" applyBorder="1" applyAlignment="1" applyProtection="1">
      <alignment horizontal="center" vertical="center" textRotation="90" wrapText="1"/>
      <protection locked="0"/>
    </xf>
    <xf numFmtId="0" fontId="13" fillId="0" borderId="1" xfId="0" applyFont="1" applyBorder="1" applyAlignment="1" applyProtection="1">
      <alignment horizontal="center" vertical="center" wrapText="1"/>
      <protection locked="0"/>
    </xf>
    <xf numFmtId="0" fontId="14" fillId="0" borderId="13" xfId="0" applyFont="1" applyBorder="1" applyAlignment="1" applyProtection="1">
      <alignment horizontal="center" vertical="center" wrapText="1"/>
      <protection locked="0"/>
    </xf>
    <xf numFmtId="0" fontId="14" fillId="0" borderId="0" xfId="0" applyFont="1" applyAlignment="1" applyProtection="1">
      <alignment horizontal="center" vertical="center" wrapText="1"/>
      <protection locked="0"/>
    </xf>
    <xf numFmtId="0" fontId="14" fillId="0" borderId="18" xfId="0" applyFont="1" applyBorder="1" applyAlignment="1" applyProtection="1">
      <alignment horizontal="center" vertical="center" wrapText="1"/>
      <protection locked="0"/>
    </xf>
    <xf numFmtId="0" fontId="6" fillId="0" borderId="19" xfId="0" applyFont="1" applyBorder="1" applyAlignment="1">
      <alignment horizontal="center" wrapText="1"/>
    </xf>
    <xf numFmtId="0" fontId="6" fillId="0" borderId="14" xfId="0" applyFont="1" applyBorder="1" applyAlignment="1">
      <alignment horizontal="center" wrapText="1"/>
    </xf>
    <xf numFmtId="0" fontId="6" fillId="0" borderId="25" xfId="0" applyFont="1" applyBorder="1" applyAlignment="1">
      <alignment horizontal="center" wrapText="1"/>
    </xf>
    <xf numFmtId="0" fontId="13" fillId="6" borderId="10" xfId="0" applyFont="1" applyFill="1" applyBorder="1" applyAlignment="1" applyProtection="1">
      <alignment horizontal="center" vertical="center" textRotation="90" wrapText="1"/>
      <protection locked="0"/>
    </xf>
    <xf numFmtId="0" fontId="13" fillId="6" borderId="11" xfId="0" applyFont="1" applyFill="1" applyBorder="1" applyAlignment="1" applyProtection="1">
      <alignment horizontal="center" vertical="center" textRotation="90" wrapText="1"/>
      <protection locked="0"/>
    </xf>
    <xf numFmtId="0" fontId="13" fillId="0" borderId="67" xfId="0" applyFont="1" applyBorder="1" applyAlignment="1" applyProtection="1">
      <alignment horizontal="center" vertical="center" wrapText="1"/>
      <protection locked="0"/>
    </xf>
    <xf numFmtId="0" fontId="13" fillId="0" borderId="71" xfId="0" applyFont="1" applyBorder="1" applyAlignment="1" applyProtection="1">
      <alignment horizontal="center" vertical="center" wrapText="1"/>
      <protection locked="0"/>
    </xf>
    <xf numFmtId="0" fontId="13" fillId="0" borderId="73" xfId="0" applyFont="1" applyBorder="1" applyAlignment="1" applyProtection="1">
      <alignment horizontal="center" vertical="center" wrapText="1"/>
      <protection locked="0"/>
    </xf>
    <xf numFmtId="0" fontId="12" fillId="0" borderId="19" xfId="0" applyFont="1" applyBorder="1" applyAlignment="1" applyProtection="1">
      <alignment horizontal="center" vertical="center" wrapText="1"/>
      <protection locked="0"/>
    </xf>
    <xf numFmtId="0" fontId="12" fillId="0" borderId="14" xfId="0" applyFont="1" applyBorder="1" applyAlignment="1" applyProtection="1">
      <alignment horizontal="center" vertical="center" wrapText="1"/>
      <protection locked="0"/>
    </xf>
    <xf numFmtId="0" fontId="14" fillId="0" borderId="19" xfId="0" applyFont="1" applyBorder="1" applyAlignment="1" applyProtection="1">
      <alignment horizontal="center" vertical="center" wrapText="1"/>
      <protection locked="0"/>
    </xf>
    <xf numFmtId="0" fontId="14" fillId="0" borderId="14" xfId="0" applyFont="1" applyBorder="1" applyAlignment="1" applyProtection="1">
      <alignment horizontal="center" vertical="center" wrapText="1"/>
      <protection locked="0"/>
    </xf>
    <xf numFmtId="0" fontId="14" fillId="0" borderId="25" xfId="0" applyFont="1" applyBorder="1" applyAlignment="1" applyProtection="1">
      <alignment horizontal="center" vertical="center" wrapText="1"/>
      <protection locked="0"/>
    </xf>
    <xf numFmtId="0" fontId="14" fillId="0" borderId="15" xfId="0" applyFont="1" applyBorder="1" applyAlignment="1" applyProtection="1">
      <alignment horizontal="center" vertical="center" wrapText="1"/>
      <protection locked="0"/>
    </xf>
    <xf numFmtId="0" fontId="14" fillId="0" borderId="12" xfId="0" applyFont="1" applyBorder="1" applyAlignment="1" applyProtection="1">
      <alignment horizontal="center" vertical="center" wrapText="1"/>
      <protection locked="0"/>
    </xf>
    <xf numFmtId="0" fontId="14" fillId="0" borderId="16" xfId="0" applyFont="1" applyBorder="1" applyAlignment="1" applyProtection="1">
      <alignment horizontal="center" vertical="center" wrapText="1"/>
      <protection locked="0"/>
    </xf>
    <xf numFmtId="0" fontId="14" fillId="0" borderId="17" xfId="0" applyFont="1" applyBorder="1" applyAlignment="1" applyProtection="1">
      <alignment horizontal="center" vertical="center" wrapText="1"/>
      <protection locked="0"/>
    </xf>
    <xf numFmtId="0" fontId="8" fillId="4" borderId="13" xfId="0" applyFont="1" applyFill="1" applyBorder="1" applyAlignment="1" applyProtection="1">
      <alignment horizontal="center" vertical="center" wrapText="1"/>
      <protection locked="0"/>
    </xf>
    <xf numFmtId="0" fontId="9" fillId="0" borderId="15" xfId="0" applyFont="1" applyBorder="1" applyAlignment="1" applyProtection="1">
      <alignment horizontal="center" vertical="center" wrapText="1"/>
      <protection locked="0"/>
    </xf>
    <xf numFmtId="14" fontId="9" fillId="0" borderId="15" xfId="0" applyNumberFormat="1" applyFont="1" applyBorder="1" applyAlignment="1" applyProtection="1">
      <alignment horizontal="center" vertical="center" wrapText="1"/>
      <protection locked="0"/>
    </xf>
    <xf numFmtId="17" fontId="18" fillId="4" borderId="16" xfId="0" applyNumberFormat="1" applyFont="1" applyFill="1" applyBorder="1" applyAlignment="1" applyProtection="1">
      <alignment horizontal="center" vertical="top" wrapText="1"/>
      <protection locked="0"/>
    </xf>
    <xf numFmtId="17" fontId="18" fillId="4" borderId="0" xfId="0" applyNumberFormat="1" applyFont="1" applyFill="1" applyAlignment="1" applyProtection="1">
      <alignment horizontal="center" vertical="top" wrapText="1"/>
      <protection locked="0"/>
    </xf>
    <xf numFmtId="17" fontId="18" fillId="4" borderId="29" xfId="0" applyNumberFormat="1" applyFont="1" applyFill="1" applyBorder="1" applyAlignment="1" applyProtection="1">
      <alignment horizontal="center" vertical="top" wrapText="1"/>
      <protection locked="0"/>
    </xf>
    <xf numFmtId="0" fontId="13" fillId="0" borderId="18" xfId="0" applyFont="1" applyBorder="1" applyAlignment="1" applyProtection="1">
      <alignment horizontal="center" vertical="center" wrapText="1"/>
      <protection locked="0"/>
    </xf>
    <xf numFmtId="0" fontId="26" fillId="4" borderId="12" xfId="0" applyFont="1" applyFill="1" applyBorder="1" applyAlignment="1" applyProtection="1">
      <alignment horizontal="center" vertical="center" wrapText="1"/>
      <protection locked="0"/>
    </xf>
    <xf numFmtId="0" fontId="26" fillId="4" borderId="13" xfId="0" applyFont="1" applyFill="1" applyBorder="1" applyAlignment="1" applyProtection="1">
      <alignment horizontal="center" vertical="center" wrapText="1"/>
      <protection locked="0"/>
    </xf>
    <xf numFmtId="0" fontId="27" fillId="0" borderId="16" xfId="0" applyFont="1" applyBorder="1" applyAlignment="1" applyProtection="1">
      <alignment horizontal="left"/>
      <protection locked="0"/>
    </xf>
    <xf numFmtId="0" fontId="27" fillId="0" borderId="0" xfId="0" applyFont="1" applyAlignment="1" applyProtection="1">
      <alignment horizontal="left"/>
      <protection locked="0"/>
    </xf>
    <xf numFmtId="0" fontId="6" fillId="4" borderId="14" xfId="0" applyFont="1" applyFill="1" applyBorder="1" applyAlignment="1" applyProtection="1">
      <alignment horizontal="center" vertical="center"/>
      <protection locked="0"/>
    </xf>
  </cellXfs>
  <cellStyles count="4">
    <cellStyle name="Normal" xfId="0" builtinId="0"/>
    <cellStyle name="Normal 2" xfId="2" xr:uid="{00000000-0005-0000-0000-000031000000}"/>
    <cellStyle name="Percent" xfId="1" builtinId="5"/>
    <cellStyle name="Percent 2" xfId="3" xr:uid="{00000000-0005-0000-0000-000032000000}"/>
  </cellStyles>
  <dxfs count="70">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ill>
        <patternFill patternType="none"/>
      </fill>
    </dxf>
    <dxf>
      <font>
        <color rgb="FF006100"/>
      </font>
      <fill>
        <patternFill patternType="solid">
          <bgColor rgb="FFC6EFCE"/>
        </patternFill>
      </fill>
    </dxf>
    <dxf>
      <font>
        <color rgb="FF9C0006"/>
      </font>
      <fill>
        <patternFill patternType="solid">
          <bgColor rgb="FFFFC7CE"/>
        </patternFill>
      </fill>
    </dxf>
  </dxfs>
  <tableStyles count="0" defaultTableStyle="TableStyleMedium2" defaultPivotStyle="PivotStyleLight16"/>
  <colors>
    <mruColors>
      <color rgb="FFFCFDE3"/>
      <color rgb="FFF9E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161"/>
  <sheetViews>
    <sheetView tabSelected="1" zoomScale="40" zoomScaleNormal="40" workbookViewId="0">
      <pane xSplit="4" topLeftCell="E1" activePane="topRight" state="frozen"/>
      <selection pane="topRight" activeCell="V4" sqref="V4:Z4"/>
    </sheetView>
  </sheetViews>
  <sheetFormatPr defaultColWidth="9" defaultRowHeight="14.25" x14ac:dyDescent="0.45"/>
  <cols>
    <col min="1" max="1" width="1.46484375" style="3" customWidth="1"/>
    <col min="2" max="2" width="5.73046875" style="3" customWidth="1"/>
    <col min="3" max="3" width="22" style="3" customWidth="1"/>
    <col min="4" max="4" width="51.59765625" style="4" customWidth="1"/>
    <col min="5" max="18" width="8.46484375" style="3" customWidth="1"/>
    <col min="19" max="20" width="11" style="3" customWidth="1"/>
    <col min="21" max="22" width="15" style="3" customWidth="1"/>
    <col min="23" max="24" width="11" style="3" customWidth="1"/>
    <col min="25" max="25" width="12.46484375" style="3" customWidth="1"/>
    <col min="26" max="26" width="11" style="3" customWidth="1"/>
    <col min="27" max="27" width="10.59765625" style="3" customWidth="1"/>
    <col min="28" max="28" width="10.265625" style="3" customWidth="1"/>
    <col min="29" max="29" width="10.59765625" style="3" customWidth="1"/>
    <col min="30" max="30" width="10.73046875" style="3" customWidth="1"/>
    <col min="31" max="31" width="11" style="3" customWidth="1"/>
    <col min="32" max="32" width="10.265625" style="3" customWidth="1"/>
    <col min="33" max="33" width="8.46484375" style="3" customWidth="1"/>
    <col min="34" max="34" width="10.33203125" style="3" customWidth="1"/>
    <col min="35" max="35" width="10" style="3" customWidth="1"/>
    <col min="36" max="36" width="9" style="3" customWidth="1"/>
    <col min="37" max="38" width="9.59765625" style="3" customWidth="1"/>
    <col min="39" max="39" width="11.265625" style="3" customWidth="1"/>
    <col min="40" max="40" width="8.46484375" style="3" customWidth="1"/>
    <col min="41" max="41" width="11" style="3" customWidth="1"/>
    <col min="42" max="42" width="8.46484375" style="3" customWidth="1"/>
    <col min="43" max="44" width="11" style="3" customWidth="1"/>
    <col min="45" max="46" width="29" style="3" customWidth="1"/>
    <col min="47" max="47" width="6" style="3" customWidth="1"/>
    <col min="48" max="16384" width="9" style="3"/>
  </cols>
  <sheetData>
    <row r="1" spans="1:47" ht="6" customHeight="1" x14ac:dyDescent="0.45"/>
    <row r="2" spans="1:47" ht="4.1500000000000004" customHeight="1" x14ac:dyDescent="0.45"/>
    <row r="3" spans="1:47" s="1" customFormat="1" ht="38.25" customHeight="1" x14ac:dyDescent="0.7">
      <c r="A3" s="5"/>
      <c r="B3" s="6"/>
      <c r="C3" s="429" t="s">
        <v>0</v>
      </c>
      <c r="D3" s="429"/>
      <c r="E3" s="429"/>
      <c r="F3" s="429"/>
      <c r="G3" s="429"/>
      <c r="H3" s="429"/>
      <c r="I3" s="429"/>
      <c r="J3" s="429"/>
      <c r="K3" s="429"/>
      <c r="L3" s="429"/>
      <c r="M3" s="429"/>
      <c r="N3" s="429"/>
      <c r="O3" s="429"/>
      <c r="P3" s="429"/>
      <c r="Q3" s="429"/>
      <c r="R3" s="429"/>
      <c r="S3" s="429"/>
      <c r="T3" s="429"/>
      <c r="U3" s="429"/>
      <c r="V3" s="429"/>
      <c r="W3" s="429"/>
      <c r="X3" s="429"/>
      <c r="Y3" s="429"/>
      <c r="Z3" s="429"/>
      <c r="AA3" s="429"/>
      <c r="AB3" s="429"/>
      <c r="AC3" s="429"/>
      <c r="AD3" s="429"/>
      <c r="AE3" s="429"/>
      <c r="AF3" s="429"/>
      <c r="AG3" s="429"/>
      <c r="AH3" s="429"/>
      <c r="AI3" s="429"/>
      <c r="AJ3" s="429"/>
      <c r="AK3" s="429"/>
      <c r="AL3" s="429"/>
      <c r="AM3" s="429"/>
      <c r="AN3" s="429"/>
      <c r="AO3" s="429"/>
      <c r="AP3" s="429"/>
      <c r="AQ3" s="429"/>
      <c r="AR3" s="429"/>
      <c r="AS3" s="429"/>
      <c r="AT3" s="429"/>
      <c r="AU3" s="74"/>
    </row>
    <row r="4" spans="1:47" ht="54.75" customHeight="1" x14ac:dyDescent="0.45">
      <c r="A4" s="7"/>
      <c r="B4" s="440"/>
      <c r="C4" s="430" t="s">
        <v>1</v>
      </c>
      <c r="D4" s="430"/>
      <c r="E4" s="430"/>
      <c r="F4" s="430"/>
      <c r="G4" s="430"/>
      <c r="H4" s="430"/>
      <c r="I4" s="430"/>
      <c r="J4" s="430" t="s">
        <v>2</v>
      </c>
      <c r="K4" s="430"/>
      <c r="L4" s="430"/>
      <c r="M4" s="430"/>
      <c r="N4" s="430"/>
      <c r="O4" s="430"/>
      <c r="P4" s="430"/>
      <c r="Q4" s="430"/>
      <c r="R4" s="430"/>
      <c r="S4" s="430" t="s">
        <v>3</v>
      </c>
      <c r="T4" s="430"/>
      <c r="U4" s="430"/>
      <c r="V4" s="430" t="s">
        <v>4</v>
      </c>
      <c r="W4" s="430"/>
      <c r="X4" s="430"/>
      <c r="Y4" s="430"/>
      <c r="Z4" s="430"/>
      <c r="AA4" s="430" t="s">
        <v>5</v>
      </c>
      <c r="AB4" s="430"/>
      <c r="AC4" s="430"/>
      <c r="AD4" s="430"/>
      <c r="AE4" s="431">
        <v>46357</v>
      </c>
      <c r="AF4" s="430"/>
      <c r="AG4" s="430"/>
      <c r="AH4" s="430"/>
      <c r="AI4" s="430"/>
      <c r="AJ4" s="430" t="s">
        <v>6</v>
      </c>
      <c r="AK4" s="430"/>
      <c r="AL4" s="430"/>
      <c r="AM4" s="430"/>
      <c r="AN4" s="430"/>
      <c r="AO4" s="430"/>
      <c r="AP4" s="430" t="s">
        <v>7</v>
      </c>
      <c r="AQ4" s="430"/>
      <c r="AR4" s="430"/>
      <c r="AS4" s="430"/>
      <c r="AT4" s="430"/>
      <c r="AU4" s="75"/>
    </row>
    <row r="5" spans="1:47" ht="20.25" customHeight="1" x14ac:dyDescent="0.45">
      <c r="A5" s="7"/>
      <c r="B5" s="440"/>
      <c r="C5" s="175" t="s">
        <v>8</v>
      </c>
      <c r="D5" s="176"/>
      <c r="E5" s="183" t="s">
        <v>9</v>
      </c>
      <c r="F5" s="184"/>
      <c r="G5" s="184"/>
      <c r="H5" s="184"/>
      <c r="I5" s="185"/>
      <c r="J5" s="183" t="s">
        <v>10</v>
      </c>
      <c r="K5" s="184"/>
      <c r="L5" s="184"/>
      <c r="M5" s="185"/>
      <c r="N5" s="189" t="s">
        <v>11</v>
      </c>
      <c r="O5" s="190"/>
      <c r="P5" s="190"/>
      <c r="Q5" s="190"/>
      <c r="R5" s="191"/>
      <c r="S5" s="432" t="s">
        <v>12</v>
      </c>
      <c r="T5" s="433"/>
      <c r="U5" s="433"/>
      <c r="V5" s="433"/>
      <c r="W5" s="433"/>
      <c r="X5" s="433"/>
      <c r="Y5" s="433"/>
      <c r="Z5" s="433"/>
      <c r="AA5" s="433"/>
      <c r="AB5" s="433"/>
      <c r="AC5" s="433"/>
      <c r="AD5" s="433"/>
      <c r="AE5" s="433"/>
      <c r="AF5" s="433"/>
      <c r="AG5" s="433"/>
      <c r="AH5" s="433"/>
      <c r="AI5" s="433"/>
      <c r="AJ5" s="433"/>
      <c r="AK5" s="433"/>
      <c r="AL5" s="433"/>
      <c r="AM5" s="433"/>
      <c r="AN5" s="433"/>
      <c r="AO5" s="433"/>
      <c r="AP5" s="434"/>
      <c r="AQ5" s="179" t="s">
        <v>13</v>
      </c>
      <c r="AR5" s="180"/>
      <c r="AS5" s="196" t="s">
        <v>14</v>
      </c>
      <c r="AT5" s="196" t="s">
        <v>15</v>
      </c>
      <c r="AU5" s="75"/>
    </row>
    <row r="6" spans="1:47" ht="30" customHeight="1" x14ac:dyDescent="0.45">
      <c r="A6" s="7"/>
      <c r="B6" s="440"/>
      <c r="C6" s="175"/>
      <c r="D6" s="176"/>
      <c r="E6" s="183"/>
      <c r="F6" s="184"/>
      <c r="G6" s="184"/>
      <c r="H6" s="184"/>
      <c r="I6" s="185"/>
      <c r="J6" s="183"/>
      <c r="K6" s="184"/>
      <c r="L6" s="184"/>
      <c r="M6" s="185"/>
      <c r="N6" s="189"/>
      <c r="O6" s="190"/>
      <c r="P6" s="190"/>
      <c r="Q6" s="190"/>
      <c r="R6" s="191"/>
      <c r="S6" s="169" t="s">
        <v>16</v>
      </c>
      <c r="T6" s="170"/>
      <c r="U6" s="170"/>
      <c r="V6" s="170"/>
      <c r="W6" s="170"/>
      <c r="X6" s="170"/>
      <c r="Y6" s="170"/>
      <c r="Z6" s="170"/>
      <c r="AA6" s="170"/>
      <c r="AB6" s="170"/>
      <c r="AC6" s="170"/>
      <c r="AD6" s="170"/>
      <c r="AE6" s="170"/>
      <c r="AF6" s="170"/>
      <c r="AG6" s="170"/>
      <c r="AH6" s="170"/>
      <c r="AI6" s="170"/>
      <c r="AJ6" s="170"/>
      <c r="AK6" s="170"/>
      <c r="AL6" s="170"/>
      <c r="AM6" s="170"/>
      <c r="AN6" s="170"/>
      <c r="AO6" s="170"/>
      <c r="AP6" s="171"/>
      <c r="AQ6" s="179"/>
      <c r="AR6" s="180"/>
      <c r="AS6" s="196"/>
      <c r="AT6" s="196"/>
      <c r="AU6" s="75"/>
    </row>
    <row r="7" spans="1:47" ht="84.75" customHeight="1" x14ac:dyDescent="0.45">
      <c r="A7" s="7"/>
      <c r="B7" s="440"/>
      <c r="C7" s="177"/>
      <c r="D7" s="178"/>
      <c r="E7" s="186"/>
      <c r="F7" s="187"/>
      <c r="G7" s="187"/>
      <c r="H7" s="187"/>
      <c r="I7" s="188"/>
      <c r="J7" s="186"/>
      <c r="K7" s="187"/>
      <c r="L7" s="187"/>
      <c r="M7" s="188"/>
      <c r="N7" s="192"/>
      <c r="O7" s="193"/>
      <c r="P7" s="193"/>
      <c r="Q7" s="193"/>
      <c r="R7" s="194"/>
      <c r="S7" s="172"/>
      <c r="T7" s="173"/>
      <c r="U7" s="173"/>
      <c r="V7" s="173"/>
      <c r="W7" s="173"/>
      <c r="X7" s="173"/>
      <c r="Y7" s="173"/>
      <c r="Z7" s="173"/>
      <c r="AA7" s="173"/>
      <c r="AB7" s="173"/>
      <c r="AC7" s="173"/>
      <c r="AD7" s="173"/>
      <c r="AE7" s="173"/>
      <c r="AF7" s="173"/>
      <c r="AG7" s="173"/>
      <c r="AH7" s="173"/>
      <c r="AI7" s="173"/>
      <c r="AJ7" s="173"/>
      <c r="AK7" s="173"/>
      <c r="AL7" s="173"/>
      <c r="AM7" s="173"/>
      <c r="AN7" s="173"/>
      <c r="AO7" s="173"/>
      <c r="AP7" s="174"/>
      <c r="AQ7" s="181"/>
      <c r="AR7" s="182"/>
      <c r="AS7" s="196"/>
      <c r="AT7" s="196"/>
      <c r="AU7" s="75"/>
    </row>
    <row r="8" spans="1:47" ht="37.5" customHeight="1" x14ac:dyDescent="0.45">
      <c r="A8" s="7"/>
      <c r="B8" s="440"/>
      <c r="C8" s="420" t="s">
        <v>17</v>
      </c>
      <c r="D8" s="420" t="s">
        <v>18</v>
      </c>
      <c r="E8" s="415" t="s">
        <v>19</v>
      </c>
      <c r="F8" s="406" t="s">
        <v>20</v>
      </c>
      <c r="G8" s="406" t="s">
        <v>21</v>
      </c>
      <c r="H8" s="399" t="s">
        <v>22</v>
      </c>
      <c r="I8" s="393" t="s">
        <v>23</v>
      </c>
      <c r="J8" s="390" t="s">
        <v>24</v>
      </c>
      <c r="K8" s="387" t="s">
        <v>25</v>
      </c>
      <c r="L8" s="381" t="s">
        <v>22</v>
      </c>
      <c r="M8" s="393" t="s">
        <v>23</v>
      </c>
      <c r="N8" s="390" t="s">
        <v>26</v>
      </c>
      <c r="O8" s="387" t="s">
        <v>27</v>
      </c>
      <c r="P8" s="387" t="s">
        <v>28</v>
      </c>
      <c r="Q8" s="381" t="s">
        <v>22</v>
      </c>
      <c r="R8" s="376" t="s">
        <v>23</v>
      </c>
      <c r="S8" s="375" t="s">
        <v>29</v>
      </c>
      <c r="T8" s="367" t="s">
        <v>30</v>
      </c>
      <c r="U8" s="367" t="s">
        <v>31</v>
      </c>
      <c r="V8" s="367" t="s">
        <v>32</v>
      </c>
      <c r="W8" s="348" t="s">
        <v>33</v>
      </c>
      <c r="X8" s="348" t="s">
        <v>34</v>
      </c>
      <c r="Y8" s="348" t="s">
        <v>35</v>
      </c>
      <c r="Z8" s="332" t="s">
        <v>36</v>
      </c>
      <c r="AA8" s="157" t="s">
        <v>37</v>
      </c>
      <c r="AB8" s="158"/>
      <c r="AC8" s="158"/>
      <c r="AD8" s="158"/>
      <c r="AE8" s="158"/>
      <c r="AF8" s="158"/>
      <c r="AG8" s="159"/>
      <c r="AH8" s="163" t="s">
        <v>22</v>
      </c>
      <c r="AI8" s="164"/>
      <c r="AJ8" s="164"/>
      <c r="AK8" s="164"/>
      <c r="AL8" s="164"/>
      <c r="AM8" s="164"/>
      <c r="AN8" s="165"/>
      <c r="AO8" s="236" t="s">
        <v>38</v>
      </c>
      <c r="AP8" s="228" t="s">
        <v>23</v>
      </c>
      <c r="AQ8" s="220" t="s">
        <v>39</v>
      </c>
      <c r="AR8" s="204" t="s">
        <v>40</v>
      </c>
      <c r="AS8" s="196"/>
      <c r="AT8" s="196"/>
      <c r="AU8" s="75"/>
    </row>
    <row r="9" spans="1:47" ht="31.5" customHeight="1" x14ac:dyDescent="0.45">
      <c r="A9" s="7"/>
      <c r="B9" s="440"/>
      <c r="C9" s="421"/>
      <c r="D9" s="421"/>
      <c r="E9" s="416"/>
      <c r="F9" s="407"/>
      <c r="G9" s="407"/>
      <c r="H9" s="400"/>
      <c r="I9" s="393"/>
      <c r="J9" s="391"/>
      <c r="K9" s="388"/>
      <c r="L9" s="382"/>
      <c r="M9" s="393"/>
      <c r="N9" s="391"/>
      <c r="O9" s="388"/>
      <c r="P9" s="388"/>
      <c r="Q9" s="382"/>
      <c r="R9" s="376"/>
      <c r="S9" s="375"/>
      <c r="T9" s="367"/>
      <c r="U9" s="367"/>
      <c r="V9" s="367"/>
      <c r="W9" s="349"/>
      <c r="X9" s="349"/>
      <c r="Y9" s="349"/>
      <c r="Z9" s="333"/>
      <c r="AA9" s="160"/>
      <c r="AB9" s="161"/>
      <c r="AC9" s="161"/>
      <c r="AD9" s="161"/>
      <c r="AE9" s="161"/>
      <c r="AF9" s="161"/>
      <c r="AG9" s="162"/>
      <c r="AH9" s="166"/>
      <c r="AI9" s="167"/>
      <c r="AJ9" s="167"/>
      <c r="AK9" s="167"/>
      <c r="AL9" s="167"/>
      <c r="AM9" s="167"/>
      <c r="AN9" s="168"/>
      <c r="AO9" s="237"/>
      <c r="AP9" s="205"/>
      <c r="AQ9" s="221"/>
      <c r="AR9" s="205"/>
      <c r="AS9" s="196"/>
      <c r="AT9" s="196"/>
      <c r="AU9" s="75"/>
    </row>
    <row r="10" spans="1:47" ht="61.5" customHeight="1" x14ac:dyDescent="0.45">
      <c r="A10" s="7"/>
      <c r="B10" s="440"/>
      <c r="C10" s="421"/>
      <c r="D10" s="421"/>
      <c r="E10" s="416"/>
      <c r="F10" s="407"/>
      <c r="G10" s="407"/>
      <c r="H10" s="400"/>
      <c r="I10" s="393"/>
      <c r="J10" s="392"/>
      <c r="K10" s="389"/>
      <c r="L10" s="383"/>
      <c r="M10" s="393"/>
      <c r="N10" s="392"/>
      <c r="O10" s="389"/>
      <c r="P10" s="389"/>
      <c r="Q10" s="383"/>
      <c r="R10" s="376"/>
      <c r="S10" s="159"/>
      <c r="T10" s="348"/>
      <c r="U10" s="348"/>
      <c r="V10" s="348"/>
      <c r="W10" s="349"/>
      <c r="X10" s="350"/>
      <c r="Y10" s="350"/>
      <c r="Z10" s="334"/>
      <c r="AA10" s="41" t="s">
        <v>41</v>
      </c>
      <c r="AB10" s="41" t="s">
        <v>42</v>
      </c>
      <c r="AC10" s="41" t="s">
        <v>43</v>
      </c>
      <c r="AD10" s="41" t="s">
        <v>44</v>
      </c>
      <c r="AE10" s="50" t="s">
        <v>45</v>
      </c>
      <c r="AF10" s="50" t="s">
        <v>46</v>
      </c>
      <c r="AG10" s="50" t="s">
        <v>47</v>
      </c>
      <c r="AH10" s="18" t="s">
        <v>41</v>
      </c>
      <c r="AI10" s="18" t="s">
        <v>42</v>
      </c>
      <c r="AJ10" s="18" t="s">
        <v>43</v>
      </c>
      <c r="AK10" s="18" t="s">
        <v>44</v>
      </c>
      <c r="AL10" s="65" t="s">
        <v>45</v>
      </c>
      <c r="AM10" s="65" t="s">
        <v>46</v>
      </c>
      <c r="AN10" s="65" t="s">
        <v>47</v>
      </c>
      <c r="AO10" s="237"/>
      <c r="AP10" s="206"/>
      <c r="AQ10" s="222"/>
      <c r="AR10" s="206"/>
      <c r="AS10" s="196"/>
      <c r="AT10" s="196"/>
      <c r="AU10" s="75"/>
    </row>
    <row r="11" spans="1:47" ht="26.25" customHeight="1" x14ac:dyDescent="0.45">
      <c r="A11" s="7"/>
      <c r="B11" s="440"/>
      <c r="C11" s="155" t="s">
        <v>48</v>
      </c>
      <c r="D11" s="422" t="s">
        <v>49</v>
      </c>
      <c r="E11" s="155">
        <v>2</v>
      </c>
      <c r="F11" s="155">
        <v>2</v>
      </c>
      <c r="G11" s="155">
        <v>2</v>
      </c>
      <c r="H11" s="401">
        <f>E11+F11+G11</f>
        <v>6</v>
      </c>
      <c r="I11" s="212">
        <v>6</v>
      </c>
      <c r="J11" s="195">
        <v>2</v>
      </c>
      <c r="K11" s="155">
        <v>2</v>
      </c>
      <c r="L11" s="241">
        <f>SUM(J11:K13)</f>
        <v>4</v>
      </c>
      <c r="M11" s="212">
        <v>4</v>
      </c>
      <c r="N11" s="343">
        <v>5</v>
      </c>
      <c r="O11" s="335">
        <v>5</v>
      </c>
      <c r="P11" s="335">
        <v>5</v>
      </c>
      <c r="Q11" s="384">
        <f>SUM(N11:P13)</f>
        <v>15</v>
      </c>
      <c r="R11" s="212">
        <v>15</v>
      </c>
      <c r="S11" s="335">
        <v>385</v>
      </c>
      <c r="T11" s="335">
        <v>385</v>
      </c>
      <c r="U11" s="359">
        <v>320</v>
      </c>
      <c r="V11" s="359">
        <v>320</v>
      </c>
      <c r="W11" s="359">
        <v>320</v>
      </c>
      <c r="X11" s="340"/>
      <c r="Y11" s="344"/>
      <c r="Z11" s="335">
        <v>385</v>
      </c>
      <c r="AA11" s="284">
        <f>S11/W11</f>
        <v>1.203125</v>
      </c>
      <c r="AB11" s="284">
        <f>T11/W11</f>
        <v>1.203125</v>
      </c>
      <c r="AC11" s="319">
        <f>U11/W11</f>
        <v>1</v>
      </c>
      <c r="AD11" s="312">
        <f>V11/W11</f>
        <v>1</v>
      </c>
      <c r="AE11" s="304"/>
      <c r="AF11" s="298"/>
      <c r="AG11" s="284">
        <f>Z11/W11</f>
        <v>1.203125</v>
      </c>
      <c r="AH11" s="244" t="str">
        <f>IF(AND(AA11&gt;=10%,AA11&lt;=19%),"1",IF(AND(AA11&gt;=20%,AA11&lt;=29%),"2",IF(AND(AA11&gt;=30%,AA11&lt;=39%),"3",IF(AND(AA11&gt;=40%,AA11&lt;=49%),"4",IF(AND(AA11&gt;=50%,AA11&lt;=59%),"5",IF(AND(AA11&gt;=60%,AA11&lt;=69%),"6",IF(AND(AA11&gt;=70%,AA11&lt;=79%),"7",IF(AND(AA11&gt;=80%,AA11&lt;=89%),"8",IF(AND(AA11&gt;=90%,AA11&lt;=99%),"9",IF(AND(AA11&gt;=100%,AA11&lt;=105%),"10",IF(AND(AA11&gt;=106%),"0","0")))))))))))</f>
        <v>0</v>
      </c>
      <c r="AI11" s="244" t="str">
        <f t="shared" ref="AI11:AN11" si="0">IF(AND(AB11&gt;=10%,AB11&lt;=19%),"1",IF(AND(AB11&gt;=20%,AB11&lt;=29%),"2",IF(AND(AB11&gt;=30%,AB11&lt;=39%),"3",IF(AND(AB11&gt;=40%,AB11&lt;=49%),"4",IF(AND(AB11&gt;=50%,AB11&lt;=59%),"5",IF(AND(AB11&gt;=60%,AB11&lt;=69%),"6",IF(AND(AB11&gt;=70%,AB11&lt;=79%),"7",IF(AND(AB11&gt;=80%,AB11&lt;=89%),"8",IF(AND(AB11&gt;=90%,AB11&lt;=99%),"9",IF(AND(AB11&gt;=100%,AB11&lt;=105%),"10",IF(AND(AB11&gt;=106%),"0","0")))))))))))</f>
        <v>0</v>
      </c>
      <c r="AJ11" s="244" t="str">
        <f t="shared" si="0"/>
        <v>10</v>
      </c>
      <c r="AK11" s="244" t="str">
        <f t="shared" si="0"/>
        <v>10</v>
      </c>
      <c r="AL11" s="266"/>
      <c r="AM11" s="259"/>
      <c r="AN11" s="244" t="str">
        <f t="shared" si="0"/>
        <v>0</v>
      </c>
      <c r="AO11" s="238">
        <f>AH11+AI11+AJ11+AK11+AL11+AN11</f>
        <v>20</v>
      </c>
      <c r="AP11" s="229">
        <v>50</v>
      </c>
      <c r="AQ11" s="223">
        <f>SUM(H11,L11,Q11,AO11)</f>
        <v>45</v>
      </c>
      <c r="AR11" s="207">
        <f>SUM(AP11,R11,M11,I11)</f>
        <v>75</v>
      </c>
      <c r="AS11" s="197"/>
      <c r="AT11" s="197" t="s">
        <v>50</v>
      </c>
      <c r="AU11" s="75"/>
    </row>
    <row r="12" spans="1:47" ht="26.25" customHeight="1" x14ac:dyDescent="0.45">
      <c r="A12" s="7"/>
      <c r="B12" s="440"/>
      <c r="C12" s="155"/>
      <c r="D12" s="423"/>
      <c r="E12" s="155"/>
      <c r="F12" s="155"/>
      <c r="G12" s="155"/>
      <c r="H12" s="401"/>
      <c r="I12" s="212"/>
      <c r="J12" s="195"/>
      <c r="K12" s="155"/>
      <c r="L12" s="242"/>
      <c r="M12" s="212"/>
      <c r="N12" s="343"/>
      <c r="O12" s="335"/>
      <c r="P12" s="335"/>
      <c r="Q12" s="384"/>
      <c r="R12" s="212"/>
      <c r="S12" s="335"/>
      <c r="T12" s="335"/>
      <c r="U12" s="359"/>
      <c r="V12" s="359"/>
      <c r="W12" s="359"/>
      <c r="X12" s="341"/>
      <c r="Y12" s="344"/>
      <c r="Z12" s="335"/>
      <c r="AA12" s="285"/>
      <c r="AB12" s="285"/>
      <c r="AC12" s="320"/>
      <c r="AD12" s="312"/>
      <c r="AE12" s="304"/>
      <c r="AF12" s="299"/>
      <c r="AG12" s="285"/>
      <c r="AH12" s="245"/>
      <c r="AI12" s="245"/>
      <c r="AJ12" s="245"/>
      <c r="AK12" s="245"/>
      <c r="AL12" s="264"/>
      <c r="AM12" s="260"/>
      <c r="AN12" s="245"/>
      <c r="AO12" s="239"/>
      <c r="AP12" s="229"/>
      <c r="AQ12" s="224"/>
      <c r="AR12" s="207"/>
      <c r="AS12" s="197"/>
      <c r="AT12" s="197"/>
      <c r="AU12" s="75"/>
    </row>
    <row r="13" spans="1:47" ht="26.25" customHeight="1" x14ac:dyDescent="0.45">
      <c r="A13" s="7"/>
      <c r="B13" s="440"/>
      <c r="C13" s="155"/>
      <c r="D13" s="424"/>
      <c r="E13" s="155"/>
      <c r="F13" s="155"/>
      <c r="G13" s="155"/>
      <c r="H13" s="401"/>
      <c r="I13" s="212"/>
      <c r="J13" s="195"/>
      <c r="K13" s="155"/>
      <c r="L13" s="243"/>
      <c r="M13" s="212"/>
      <c r="N13" s="343"/>
      <c r="O13" s="335"/>
      <c r="P13" s="335"/>
      <c r="Q13" s="384"/>
      <c r="R13" s="212"/>
      <c r="S13" s="335"/>
      <c r="T13" s="335"/>
      <c r="U13" s="359"/>
      <c r="V13" s="359"/>
      <c r="W13" s="359"/>
      <c r="X13" s="342"/>
      <c r="Y13" s="344"/>
      <c r="Z13" s="335"/>
      <c r="AA13" s="286"/>
      <c r="AB13" s="286"/>
      <c r="AC13" s="321"/>
      <c r="AD13" s="312"/>
      <c r="AE13" s="304"/>
      <c r="AF13" s="300"/>
      <c r="AG13" s="286"/>
      <c r="AH13" s="245"/>
      <c r="AI13" s="245"/>
      <c r="AJ13" s="245"/>
      <c r="AK13" s="245"/>
      <c r="AL13" s="264"/>
      <c r="AM13" s="261"/>
      <c r="AN13" s="245"/>
      <c r="AO13" s="240"/>
      <c r="AP13" s="229"/>
      <c r="AQ13" s="224"/>
      <c r="AR13" s="207"/>
      <c r="AS13" s="197"/>
      <c r="AT13" s="197"/>
      <c r="AU13" s="75"/>
    </row>
    <row r="14" spans="1:47" ht="26.25" customHeight="1" x14ac:dyDescent="0.45">
      <c r="A14" s="7"/>
      <c r="B14" s="440"/>
      <c r="C14" s="155" t="s">
        <v>51</v>
      </c>
      <c r="D14" s="422" t="s">
        <v>52</v>
      </c>
      <c r="E14" s="155">
        <v>2</v>
      </c>
      <c r="F14" s="155">
        <v>2</v>
      </c>
      <c r="G14" s="155">
        <v>2</v>
      </c>
      <c r="H14" s="401">
        <f t="shared" ref="H14" si="1">E14+F14+G14</f>
        <v>6</v>
      </c>
      <c r="I14" s="212">
        <v>6</v>
      </c>
      <c r="J14" s="195">
        <v>2</v>
      </c>
      <c r="K14" s="155">
        <v>2</v>
      </c>
      <c r="L14" s="241">
        <f>SUM(J14:K16)</f>
        <v>4</v>
      </c>
      <c r="M14" s="212">
        <v>4</v>
      </c>
      <c r="N14" s="343">
        <v>5</v>
      </c>
      <c r="O14" s="335">
        <v>5</v>
      </c>
      <c r="P14" s="335">
        <v>5</v>
      </c>
      <c r="Q14" s="384">
        <f>SUM(N14:P16)</f>
        <v>15</v>
      </c>
      <c r="R14" s="212">
        <v>15</v>
      </c>
      <c r="S14" s="335">
        <v>4</v>
      </c>
      <c r="T14" s="335">
        <v>4</v>
      </c>
      <c r="U14" s="335">
        <v>4</v>
      </c>
      <c r="V14" s="335">
        <v>4</v>
      </c>
      <c r="W14" s="335">
        <v>4</v>
      </c>
      <c r="X14" s="340"/>
      <c r="Y14" s="344"/>
      <c r="Z14" s="335">
        <v>4</v>
      </c>
      <c r="AA14" s="284">
        <f>S14/W14</f>
        <v>1</v>
      </c>
      <c r="AB14" s="284">
        <f>T14/W14</f>
        <v>1</v>
      </c>
      <c r="AC14" s="319">
        <f>U14/W14</f>
        <v>1</v>
      </c>
      <c r="AD14" s="312">
        <f>V14/W14</f>
        <v>1</v>
      </c>
      <c r="AE14" s="304"/>
      <c r="AF14" s="298"/>
      <c r="AG14" s="284">
        <f>Z14/W14</f>
        <v>1</v>
      </c>
      <c r="AH14" s="245" t="str">
        <f>IF(AND(AA14&gt;=10%,AA14&lt;=19%),"1",IF(AND(AA14&gt;=20%,AA14&lt;=29%),"2",IF(AND(AA14&gt;=30%,AA14&lt;=39%),"3",IF(AND(AA14&gt;=40%,AA14&lt;=49%),"4",IF(AND(AA14&gt;=50%,AA14&lt;=59%),"5",IF(AND(AA14&gt;=60%,AA14&lt;=69%),"6",IF(AND(AA14&gt;=70%,AA14&lt;=79%),"7",IF(AND(AA14&gt;=80%,AA14&lt;=89%),"8",IF(AND(AA14&gt;=90%,AA14&lt;=99%),"9",IF(AND(AA14&gt;=100%,AA14&lt;=105%),"10",IF(AND(AA14&gt;=106%),"0","0")))))))))))</f>
        <v>10</v>
      </c>
      <c r="AI14" s="245" t="str">
        <f t="shared" ref="AI14:AK14" si="2">IF(AND(AB14&gt;=10%,AB14&lt;=19%),"1",IF(AND(AB14&gt;=20%,AB14&lt;=29%),"2",IF(AND(AB14&gt;=30%,AB14&lt;=39%),"3",IF(AND(AB14&gt;=40%,AB14&lt;=49%),"4",IF(AND(AB14&gt;=50%,AB14&lt;=59%),"5",IF(AND(AB14&gt;=60%,AB14&lt;=69%),"6",IF(AND(AB14&gt;=70%,AB14&lt;=79%),"7",IF(AND(AB14&gt;=80%,AB14&lt;=89%),"8",IF(AND(AB14&gt;=90%,AB14&lt;=99%),"9",IF(AND(AB14&gt;=100%,AB14&lt;=105%),"10",IF(AND(AB14&gt;=106%),"0","0")))))))))))</f>
        <v>10</v>
      </c>
      <c r="AJ14" s="271" t="str">
        <f t="shared" si="2"/>
        <v>10</v>
      </c>
      <c r="AK14" s="265" t="str">
        <f t="shared" si="2"/>
        <v>10</v>
      </c>
      <c r="AL14" s="264"/>
      <c r="AM14" s="262"/>
      <c r="AN14" s="246" t="str">
        <f>IF(AND(AG14&gt;=10%,AG14&lt;=19%),"1",IF(AND(AG14&gt;=20%,AG14&lt;=29%),"2",IF(AND(AG14&gt;=30%,AG14&lt;=39%),"3",IF(AND(AG14&gt;=40%,AG14&lt;=49%),"4",IF(AND(AG14&gt;=50%,AG14&lt;=59%),"5",IF(AND(AG14&gt;=60%,AG14&lt;=69%),"6",IF(AND(AG14&gt;=70%,AG14&lt;=79%),"7",IF(AND(AG14&gt;=80%,AG14&lt;=89%),"8",IF(AND(AG14&gt;=90%,AG14&lt;=99%),"9",IF(AND(AG14&gt;=100%,AG14&lt;=105%),"10",IF(AND(AG14&gt;=106%),"0","0")))))))))))</f>
        <v>10</v>
      </c>
      <c r="AO14" s="238">
        <f>AH14+AI14+AJ14+AK14+AL14+AN14</f>
        <v>50</v>
      </c>
      <c r="AP14" s="229">
        <v>50</v>
      </c>
      <c r="AQ14" s="223">
        <f>SUM(H14,L14,Q14,AO14)</f>
        <v>75</v>
      </c>
      <c r="AR14" s="207">
        <f t="shared" ref="AR14" si="3">SUM(AP14,R14,M14,I14)</f>
        <v>75</v>
      </c>
      <c r="AS14" s="198"/>
      <c r="AT14" s="197"/>
      <c r="AU14" s="75"/>
    </row>
    <row r="15" spans="1:47" ht="18.75" customHeight="1" x14ac:dyDescent="0.45">
      <c r="A15" s="7"/>
      <c r="B15" s="440"/>
      <c r="C15" s="155"/>
      <c r="D15" s="423"/>
      <c r="E15" s="155"/>
      <c r="F15" s="155"/>
      <c r="G15" s="155"/>
      <c r="H15" s="401"/>
      <c r="I15" s="212"/>
      <c r="J15" s="195"/>
      <c r="K15" s="155"/>
      <c r="L15" s="242"/>
      <c r="M15" s="212"/>
      <c r="N15" s="343"/>
      <c r="O15" s="335"/>
      <c r="P15" s="335"/>
      <c r="Q15" s="384"/>
      <c r="R15" s="212"/>
      <c r="S15" s="335"/>
      <c r="T15" s="335"/>
      <c r="U15" s="335"/>
      <c r="V15" s="335"/>
      <c r="W15" s="335"/>
      <c r="X15" s="341"/>
      <c r="Y15" s="344"/>
      <c r="Z15" s="335"/>
      <c r="AA15" s="285"/>
      <c r="AB15" s="285"/>
      <c r="AC15" s="320"/>
      <c r="AD15" s="312"/>
      <c r="AE15" s="304"/>
      <c r="AF15" s="299"/>
      <c r="AG15" s="285"/>
      <c r="AH15" s="245"/>
      <c r="AI15" s="245"/>
      <c r="AJ15" s="271"/>
      <c r="AK15" s="246"/>
      <c r="AL15" s="264"/>
      <c r="AM15" s="262"/>
      <c r="AN15" s="246"/>
      <c r="AO15" s="239"/>
      <c r="AP15" s="229"/>
      <c r="AQ15" s="224"/>
      <c r="AR15" s="207"/>
      <c r="AS15" s="199"/>
      <c r="AT15" s="197"/>
      <c r="AU15" s="75"/>
    </row>
    <row r="16" spans="1:47" ht="18.75" customHeight="1" x14ac:dyDescent="0.45">
      <c r="A16" s="7"/>
      <c r="B16" s="440"/>
      <c r="C16" s="155"/>
      <c r="D16" s="424"/>
      <c r="E16" s="155"/>
      <c r="F16" s="155"/>
      <c r="G16" s="155"/>
      <c r="H16" s="401"/>
      <c r="I16" s="212"/>
      <c r="J16" s="195"/>
      <c r="K16" s="155"/>
      <c r="L16" s="243"/>
      <c r="M16" s="212"/>
      <c r="N16" s="343"/>
      <c r="O16" s="335"/>
      <c r="P16" s="335"/>
      <c r="Q16" s="384"/>
      <c r="R16" s="212"/>
      <c r="S16" s="335"/>
      <c r="T16" s="335"/>
      <c r="U16" s="335"/>
      <c r="V16" s="335"/>
      <c r="W16" s="335"/>
      <c r="X16" s="342"/>
      <c r="Y16" s="344"/>
      <c r="Z16" s="335"/>
      <c r="AA16" s="286"/>
      <c r="AB16" s="286"/>
      <c r="AC16" s="321"/>
      <c r="AD16" s="312"/>
      <c r="AE16" s="304"/>
      <c r="AF16" s="300"/>
      <c r="AG16" s="286"/>
      <c r="AH16" s="245"/>
      <c r="AI16" s="245"/>
      <c r="AJ16" s="271"/>
      <c r="AK16" s="244"/>
      <c r="AL16" s="264"/>
      <c r="AM16" s="262"/>
      <c r="AN16" s="244"/>
      <c r="AO16" s="240"/>
      <c r="AP16" s="230"/>
      <c r="AQ16" s="224"/>
      <c r="AR16" s="207"/>
      <c r="AS16" s="200"/>
      <c r="AT16" s="197"/>
      <c r="AU16" s="75"/>
    </row>
    <row r="17" spans="1:51" ht="26.25" customHeight="1" x14ac:dyDescent="0.45">
      <c r="A17" s="7"/>
      <c r="B17" s="440"/>
      <c r="C17" s="345" t="s">
        <v>53</v>
      </c>
      <c r="D17" s="422" t="s">
        <v>54</v>
      </c>
      <c r="E17" s="155">
        <v>2</v>
      </c>
      <c r="F17" s="155">
        <v>2</v>
      </c>
      <c r="G17" s="155">
        <v>2</v>
      </c>
      <c r="H17" s="401">
        <f t="shared" ref="H17" si="4">E17+F17+G17</f>
        <v>6</v>
      </c>
      <c r="I17" s="213">
        <v>6</v>
      </c>
      <c r="J17" s="195">
        <v>2</v>
      </c>
      <c r="K17" s="155">
        <v>2</v>
      </c>
      <c r="L17" s="241">
        <f>SUM(J17:K19)</f>
        <v>4</v>
      </c>
      <c r="M17" s="213">
        <v>4</v>
      </c>
      <c r="N17" s="372">
        <v>5</v>
      </c>
      <c r="O17" s="372">
        <v>5</v>
      </c>
      <c r="P17" s="372">
        <v>5</v>
      </c>
      <c r="Q17" s="384">
        <f>SUM(N17:P19)</f>
        <v>15</v>
      </c>
      <c r="R17" s="213">
        <v>15</v>
      </c>
      <c r="S17" s="335">
        <v>138</v>
      </c>
      <c r="T17" s="335">
        <v>138</v>
      </c>
      <c r="U17" s="335">
        <v>138</v>
      </c>
      <c r="V17" s="336"/>
      <c r="W17" s="360">
        <v>138</v>
      </c>
      <c r="X17" s="351"/>
      <c r="Y17" s="336"/>
      <c r="Z17" s="336"/>
      <c r="AA17" s="284">
        <f>S17/W17</f>
        <v>1</v>
      </c>
      <c r="AB17" s="284">
        <f>T17/W17</f>
        <v>1</v>
      </c>
      <c r="AC17" s="284">
        <f>U17/W17</f>
        <v>1</v>
      </c>
      <c r="AD17" s="313"/>
      <c r="AE17" s="273"/>
      <c r="AF17" s="273"/>
      <c r="AG17" s="273"/>
      <c r="AH17" s="245" t="str">
        <f>IF(AND(AA17&gt;=10%,AA17&lt;=19%),"1",IF(AND(AA17&gt;=20%,AA17&lt;=29%),"2",IF(AND(AA17&gt;=30%,AA17&lt;=39%),"3",IF(AND(AA17&gt;=40%,AA17&lt;=49%),"4",IF(AND(AA17&gt;=50%,AA17&lt;=59%),"5",IF(AND(AA17&gt;=60%,AA17&lt;=69%),"6",IF(AND(AA17&gt;=70%,AA17&lt;=79%),"7",IF(AND(AA17&gt;=80%,AA17&lt;=89%),"8",IF(AND(AA17&gt;=90%,AA17&lt;=99%),"9",IF(AND(AA17&gt;=100%,AA17&lt;=105%),"10",IF(AND(AA17&gt;=106%),"0","0")))))))))))</f>
        <v>10</v>
      </c>
      <c r="AI17" s="245" t="str">
        <f>IF(AND(AB17&gt;=10%,AB17&lt;=19%),"1",IF(AND(AB17&gt;=20%,AB17&lt;=29%),"2",IF(AND(AB17&gt;=30%,AB17&lt;=39%),"3",IF(AND(AB17&gt;=40%,AB17&lt;=49%),"4",IF(AND(AB17&gt;=50%,AB17&lt;=59%),"5",IF(AND(AB17&gt;=60%,AB17&lt;=69%),"6",IF(AND(AB17&gt;=70%,AB17&lt;=79%),"7",IF(AND(AB17&gt;=80%,AB17&lt;=89%),"8",IF(AND(AB17&gt;=90%,AB17&lt;=99%),"9",IF(AND(AB17&gt;=100%,AB17&lt;=105%),"10",IF(AND(AB17&gt;=106%),"0","0")))))))))))</f>
        <v>10</v>
      </c>
      <c r="AJ17" s="245" t="str">
        <f>IF(AND(AC17&gt;=10%,AC17&lt;=19%),"1",IF(AND(AC17&gt;=20%,AC17&lt;=29%),"2",IF(AND(AC17&gt;=30%,AC17&lt;=39%),"3",IF(AND(AC17&gt;=40%,AC17&lt;=49%),"4",IF(AND(AC17&gt;=50%,AC17&lt;=59%),"5",IF(AND(AC17&gt;=60%,AC17&lt;=69%),"6",IF(AND(AC17&gt;=70%,AC17&lt;=79%),"7",IF(AND(AC17&gt;=80%,AC17&lt;=89%),"8",IF(AND(AC17&gt;=90%,AC17&lt;=99%),"9",IF(AND(AC17&gt;=100%,AC17&lt;=105%),"10",IF(AND(AC17&gt;=106%),"0","0")))))))))))</f>
        <v>10</v>
      </c>
      <c r="AK17" s="263"/>
      <c r="AL17" s="263"/>
      <c r="AM17" s="263"/>
      <c r="AN17" s="247"/>
      <c r="AO17" s="238">
        <f>AH17+AI17+AJ17</f>
        <v>30</v>
      </c>
      <c r="AP17" s="230">
        <v>30</v>
      </c>
      <c r="AQ17" s="223">
        <f>SUM(H17,L17,Q17,AO17)</f>
        <v>55</v>
      </c>
      <c r="AR17" s="207">
        <f t="shared" ref="AR17" si="5">SUM(AP17,R17,M17,I17)</f>
        <v>55</v>
      </c>
      <c r="AS17" s="198"/>
      <c r="AT17" s="198"/>
      <c r="AU17" s="75"/>
    </row>
    <row r="18" spans="1:51" ht="26.25" customHeight="1" x14ac:dyDescent="0.45">
      <c r="A18" s="7"/>
      <c r="B18" s="440"/>
      <c r="C18" s="346"/>
      <c r="D18" s="423"/>
      <c r="E18" s="155"/>
      <c r="F18" s="155"/>
      <c r="G18" s="155"/>
      <c r="H18" s="401"/>
      <c r="I18" s="214"/>
      <c r="J18" s="195"/>
      <c r="K18" s="155"/>
      <c r="L18" s="242"/>
      <c r="M18" s="214"/>
      <c r="N18" s="373"/>
      <c r="O18" s="373"/>
      <c r="P18" s="373"/>
      <c r="Q18" s="384"/>
      <c r="R18" s="214"/>
      <c r="S18" s="335"/>
      <c r="T18" s="335"/>
      <c r="U18" s="335"/>
      <c r="V18" s="337"/>
      <c r="W18" s="361"/>
      <c r="X18" s="352"/>
      <c r="Y18" s="337"/>
      <c r="Z18" s="337"/>
      <c r="AA18" s="285"/>
      <c r="AB18" s="285"/>
      <c r="AC18" s="285"/>
      <c r="AD18" s="314"/>
      <c r="AE18" s="274"/>
      <c r="AF18" s="274"/>
      <c r="AG18" s="274"/>
      <c r="AH18" s="245"/>
      <c r="AI18" s="245"/>
      <c r="AJ18" s="245"/>
      <c r="AK18" s="263"/>
      <c r="AL18" s="263"/>
      <c r="AM18" s="263"/>
      <c r="AN18" s="248"/>
      <c r="AO18" s="239"/>
      <c r="AP18" s="231"/>
      <c r="AQ18" s="224"/>
      <c r="AR18" s="207"/>
      <c r="AS18" s="199"/>
      <c r="AT18" s="199"/>
      <c r="AU18" s="75"/>
    </row>
    <row r="19" spans="1:51" ht="26.25" customHeight="1" thickBot="1" x14ac:dyDescent="0.5">
      <c r="A19" s="7"/>
      <c r="B19" s="440"/>
      <c r="C19" s="347"/>
      <c r="D19" s="424"/>
      <c r="E19" s="155"/>
      <c r="F19" s="155"/>
      <c r="G19" s="155"/>
      <c r="H19" s="401"/>
      <c r="I19" s="215"/>
      <c r="J19" s="195"/>
      <c r="K19" s="155"/>
      <c r="L19" s="243"/>
      <c r="M19" s="215"/>
      <c r="N19" s="355"/>
      <c r="O19" s="355"/>
      <c r="P19" s="355"/>
      <c r="Q19" s="384"/>
      <c r="R19" s="215"/>
      <c r="S19" s="335"/>
      <c r="T19" s="335"/>
      <c r="U19" s="335"/>
      <c r="V19" s="338"/>
      <c r="W19" s="362"/>
      <c r="X19" s="353"/>
      <c r="Y19" s="338"/>
      <c r="Z19" s="338"/>
      <c r="AA19" s="286"/>
      <c r="AB19" s="286"/>
      <c r="AC19" s="286"/>
      <c r="AD19" s="315"/>
      <c r="AE19" s="275"/>
      <c r="AF19" s="275"/>
      <c r="AG19" s="275"/>
      <c r="AH19" s="245"/>
      <c r="AI19" s="245"/>
      <c r="AJ19" s="245"/>
      <c r="AK19" s="263"/>
      <c r="AL19" s="263"/>
      <c r="AM19" s="263"/>
      <c r="AN19" s="249"/>
      <c r="AO19" s="239"/>
      <c r="AP19" s="232"/>
      <c r="AQ19" s="224"/>
      <c r="AR19" s="207"/>
      <c r="AS19" s="200"/>
      <c r="AT19" s="200"/>
      <c r="AU19" s="75"/>
    </row>
    <row r="20" spans="1:51" ht="41.95" customHeight="1" thickBot="1" x14ac:dyDescent="0.5">
      <c r="A20" s="7"/>
      <c r="B20" s="440"/>
      <c r="C20" s="345" t="s">
        <v>55</v>
      </c>
      <c r="D20" s="16" t="s">
        <v>56</v>
      </c>
      <c r="E20" s="13">
        <v>2</v>
      </c>
      <c r="F20" s="13">
        <v>2</v>
      </c>
      <c r="G20" s="13">
        <v>2</v>
      </c>
      <c r="H20" s="17">
        <f t="shared" ref="H20" si="6">E20+F20+G20</f>
        <v>6</v>
      </c>
      <c r="I20" s="29">
        <v>6</v>
      </c>
      <c r="J20" s="13">
        <v>2</v>
      </c>
      <c r="K20" s="13">
        <v>2</v>
      </c>
      <c r="L20" s="28">
        <f>SUM(J20:K20)</f>
        <v>4</v>
      </c>
      <c r="M20" s="29">
        <v>4</v>
      </c>
      <c r="N20" s="13">
        <v>5</v>
      </c>
      <c r="O20" s="13">
        <v>5</v>
      </c>
      <c r="P20" s="13">
        <v>5</v>
      </c>
      <c r="Q20" s="28">
        <f>SUM(N20:P20)</f>
        <v>15</v>
      </c>
      <c r="R20" s="29">
        <v>15</v>
      </c>
      <c r="S20" s="13">
        <v>0</v>
      </c>
      <c r="T20" s="13">
        <v>0</v>
      </c>
      <c r="U20" s="13">
        <v>0</v>
      </c>
      <c r="V20" s="42"/>
      <c r="W20" s="13">
        <v>0</v>
      </c>
      <c r="X20" s="42"/>
      <c r="Y20" s="146"/>
      <c r="Z20" s="42"/>
      <c r="AA20" s="51" t="e">
        <f>S20/W20</f>
        <v>#DIV/0!</v>
      </c>
      <c r="AB20" s="51" t="e">
        <f>T20/W20</f>
        <v>#DIV/0!</v>
      </c>
      <c r="AC20" s="51" t="e">
        <f>U20/W20</f>
        <v>#DIV/0!</v>
      </c>
      <c r="AD20" s="53"/>
      <c r="AE20" s="53"/>
      <c r="AF20" s="148"/>
      <c r="AG20" s="54"/>
      <c r="AH20" s="66" t="e">
        <f t="shared" ref="AH20:AJ24" si="7">IF(AND(AA20&gt;=10%,AA20&lt;=19%),"1",IF(AND(AA20&gt;=20%,AA20&lt;=29%),"2",IF(AND(AA20&gt;=30%,AA20&lt;=39%),"3",IF(AND(AA20&gt;=40%,AA20&lt;=49%),"4",IF(AND(AA20&gt;=50%,AA20&lt;=59%),"5",IF(AND(AA20&gt;=60%,AA20&lt;=69%),"6",IF(AND(AA20&gt;=70%,AA20&lt;=79%),"7",IF(AND(AA20&gt;=80%,AA20&lt;=89%),"8",IF(AND(AA20&gt;=90%,AA20&lt;=99%),"9",IF(AND(AA20&gt;=100%,AA20&lt;=105%),"10",IF(AND(AA20&gt;=106%),"0","0")))))))))))</f>
        <v>#DIV/0!</v>
      </c>
      <c r="AI20" s="66" t="e">
        <f t="shared" si="7"/>
        <v>#DIV/0!</v>
      </c>
      <c r="AJ20" s="66" t="e">
        <f t="shared" si="7"/>
        <v>#DIV/0!</v>
      </c>
      <c r="AK20" s="67"/>
      <c r="AL20" s="67"/>
      <c r="AM20" s="67"/>
      <c r="AN20" s="67"/>
      <c r="AO20" s="76">
        <v>30</v>
      </c>
      <c r="AP20" s="79">
        <v>30</v>
      </c>
      <c r="AQ20" s="81">
        <f>SUM(H20,L20,Q20,AO20)</f>
        <v>55</v>
      </c>
      <c r="AR20" s="82">
        <f t="shared" ref="AR20" si="8">SUM(AP20,R20,M20,I20)</f>
        <v>55</v>
      </c>
      <c r="AS20" s="77"/>
      <c r="AT20" s="77"/>
      <c r="AU20" s="83"/>
      <c r="AV20" s="2"/>
      <c r="AW20" s="2"/>
      <c r="AX20" s="2"/>
      <c r="AY20" s="2"/>
    </row>
    <row r="21" spans="1:51" ht="41.95" customHeight="1" thickBot="1" x14ac:dyDescent="0.5">
      <c r="A21" s="7"/>
      <c r="B21" s="440"/>
      <c r="C21" s="346"/>
      <c r="D21" s="16" t="s">
        <v>57</v>
      </c>
      <c r="E21" s="13">
        <v>2</v>
      </c>
      <c r="F21" s="13">
        <v>2</v>
      </c>
      <c r="G21" s="13">
        <v>2</v>
      </c>
      <c r="H21" s="17">
        <f t="shared" ref="H21:H23" si="9">E21+F21+G21</f>
        <v>6</v>
      </c>
      <c r="I21" s="29">
        <v>6</v>
      </c>
      <c r="J21" s="13">
        <v>2</v>
      </c>
      <c r="K21" s="13">
        <v>2</v>
      </c>
      <c r="L21" s="28">
        <f>SUM(J21:K21)</f>
        <v>4</v>
      </c>
      <c r="M21" s="29">
        <v>4</v>
      </c>
      <c r="N21" s="13">
        <v>5</v>
      </c>
      <c r="O21" s="13">
        <v>5</v>
      </c>
      <c r="P21" s="13">
        <v>5</v>
      </c>
      <c r="Q21" s="28">
        <f>SUM(N21:P21)</f>
        <v>15</v>
      </c>
      <c r="R21" s="29">
        <v>15</v>
      </c>
      <c r="S21" s="13">
        <v>0</v>
      </c>
      <c r="T21" s="13">
        <v>0</v>
      </c>
      <c r="U21" s="13">
        <v>0</v>
      </c>
      <c r="V21" s="42"/>
      <c r="W21" s="13">
        <v>0</v>
      </c>
      <c r="X21" s="42"/>
      <c r="Y21" s="146"/>
      <c r="Z21" s="42"/>
      <c r="AA21" s="51" t="e">
        <f>S21/W21</f>
        <v>#DIV/0!</v>
      </c>
      <c r="AB21" s="51" t="e">
        <f>T21/W21</f>
        <v>#DIV/0!</v>
      </c>
      <c r="AC21" s="51" t="e">
        <f>U21/W21</f>
        <v>#DIV/0!</v>
      </c>
      <c r="AD21" s="53"/>
      <c r="AE21" s="53"/>
      <c r="AF21" s="148"/>
      <c r="AG21" s="54"/>
      <c r="AH21" s="66" t="e">
        <f t="shared" si="7"/>
        <v>#DIV/0!</v>
      </c>
      <c r="AI21" s="66" t="e">
        <f t="shared" si="7"/>
        <v>#DIV/0!</v>
      </c>
      <c r="AJ21" s="66" t="e">
        <f t="shared" si="7"/>
        <v>#DIV/0!</v>
      </c>
      <c r="AK21" s="67"/>
      <c r="AL21" s="67"/>
      <c r="AM21" s="67"/>
      <c r="AN21" s="67"/>
      <c r="AO21" s="76">
        <v>30</v>
      </c>
      <c r="AP21" s="79">
        <v>30</v>
      </c>
      <c r="AQ21" s="81">
        <f>SUM(H21,L21,Q21,AO21)</f>
        <v>55</v>
      </c>
      <c r="AR21" s="82">
        <f t="shared" ref="AR21:AR23" si="10">SUM(AP21,R21,M21,I21)</f>
        <v>55</v>
      </c>
      <c r="AS21" s="78"/>
      <c r="AT21" s="78"/>
      <c r="AU21" s="83"/>
      <c r="AV21" s="2"/>
      <c r="AW21" s="2"/>
      <c r="AX21" s="2"/>
      <c r="AY21" s="2"/>
    </row>
    <row r="22" spans="1:51" ht="41.95" customHeight="1" thickBot="1" x14ac:dyDescent="0.5">
      <c r="A22" s="7"/>
      <c r="B22" s="440"/>
      <c r="C22" s="346"/>
      <c r="D22" s="16" t="s">
        <v>58</v>
      </c>
      <c r="E22" s="13">
        <v>2</v>
      </c>
      <c r="F22" s="13">
        <v>2</v>
      </c>
      <c r="G22" s="13">
        <v>2</v>
      </c>
      <c r="H22" s="17">
        <f t="shared" si="9"/>
        <v>6</v>
      </c>
      <c r="I22" s="29">
        <v>6</v>
      </c>
      <c r="J22" s="13">
        <v>2</v>
      </c>
      <c r="K22" s="13">
        <v>2</v>
      </c>
      <c r="L22" s="28">
        <f>SUM(J22:K22)</f>
        <v>4</v>
      </c>
      <c r="M22" s="29">
        <v>4</v>
      </c>
      <c r="N22" s="13">
        <v>5</v>
      </c>
      <c r="O22" s="13">
        <v>5</v>
      </c>
      <c r="P22" s="13">
        <v>5</v>
      </c>
      <c r="Q22" s="28">
        <f>SUM(N22:P22)</f>
        <v>15</v>
      </c>
      <c r="R22" s="29">
        <v>15</v>
      </c>
      <c r="S22" s="13">
        <v>0</v>
      </c>
      <c r="T22" s="13">
        <v>0</v>
      </c>
      <c r="U22" s="13">
        <v>0</v>
      </c>
      <c r="V22" s="42"/>
      <c r="W22" s="13">
        <v>0</v>
      </c>
      <c r="X22" s="42"/>
      <c r="Y22" s="145"/>
      <c r="Z22" s="42"/>
      <c r="AA22" s="51" t="e">
        <f>S22/W22</f>
        <v>#DIV/0!</v>
      </c>
      <c r="AB22" s="51" t="e">
        <f>T22/W22</f>
        <v>#DIV/0!</v>
      </c>
      <c r="AC22" s="51" t="e">
        <f>U22/W22</f>
        <v>#DIV/0!</v>
      </c>
      <c r="AD22" s="53"/>
      <c r="AE22" s="53"/>
      <c r="AF22" s="150"/>
      <c r="AG22" s="54"/>
      <c r="AH22" s="66" t="e">
        <f t="shared" si="7"/>
        <v>#DIV/0!</v>
      </c>
      <c r="AI22" s="66" t="e">
        <f t="shared" si="7"/>
        <v>#DIV/0!</v>
      </c>
      <c r="AJ22" s="66" t="e">
        <f t="shared" si="7"/>
        <v>#DIV/0!</v>
      </c>
      <c r="AK22" s="67"/>
      <c r="AL22" s="67"/>
      <c r="AM22" s="149"/>
      <c r="AN22" s="67"/>
      <c r="AO22" s="76">
        <v>30</v>
      </c>
      <c r="AP22" s="79">
        <v>30</v>
      </c>
      <c r="AQ22" s="81">
        <f>SUM(H22,L22,Q22,AO22)</f>
        <v>55</v>
      </c>
      <c r="AR22" s="82">
        <f t="shared" si="10"/>
        <v>55</v>
      </c>
      <c r="AS22" s="78"/>
      <c r="AT22" s="78"/>
      <c r="AU22" s="83"/>
      <c r="AV22" s="2"/>
      <c r="AW22" s="2"/>
      <c r="AX22" s="2"/>
      <c r="AY22" s="2"/>
    </row>
    <row r="23" spans="1:51" ht="41.95" customHeight="1" thickBot="1" x14ac:dyDescent="0.5">
      <c r="A23" s="7"/>
      <c r="B23" s="440"/>
      <c r="C23" s="347"/>
      <c r="D23" s="16" t="s">
        <v>59</v>
      </c>
      <c r="E23" s="13">
        <v>2</v>
      </c>
      <c r="F23" s="13">
        <v>2</v>
      </c>
      <c r="G23" s="13">
        <v>2</v>
      </c>
      <c r="H23" s="17">
        <f t="shared" si="9"/>
        <v>6</v>
      </c>
      <c r="I23" s="29">
        <v>6</v>
      </c>
      <c r="J23" s="13">
        <v>2</v>
      </c>
      <c r="K23" s="13">
        <v>2</v>
      </c>
      <c r="L23" s="28">
        <f>SUM(J23:K23)</f>
        <v>4</v>
      </c>
      <c r="M23" s="29">
        <v>4</v>
      </c>
      <c r="N23" s="13">
        <v>5</v>
      </c>
      <c r="O23" s="13">
        <v>5</v>
      </c>
      <c r="P23" s="13">
        <v>5</v>
      </c>
      <c r="Q23" s="28">
        <f>SUM(N23:P23)</f>
        <v>15</v>
      </c>
      <c r="R23" s="29">
        <v>15</v>
      </c>
      <c r="S23" s="13">
        <v>0</v>
      </c>
      <c r="T23" s="13">
        <v>0</v>
      </c>
      <c r="U23" s="13">
        <v>0</v>
      </c>
      <c r="V23" s="42"/>
      <c r="W23" s="13">
        <v>0</v>
      </c>
      <c r="X23" s="42"/>
      <c r="Y23" s="13">
        <v>0</v>
      </c>
      <c r="Z23" s="42"/>
      <c r="AA23" s="51" t="e">
        <f>S23/W23</f>
        <v>#DIV/0!</v>
      </c>
      <c r="AB23" s="51" t="e">
        <f>T23/W23</f>
        <v>#DIV/0!</v>
      </c>
      <c r="AC23" s="51" t="e">
        <f>U23/W23</f>
        <v>#DIV/0!</v>
      </c>
      <c r="AD23" s="53"/>
      <c r="AE23" s="53"/>
      <c r="AF23" s="51" t="e">
        <f t="shared" ref="AF23" si="11">Y23/W23</f>
        <v>#DIV/0!</v>
      </c>
      <c r="AG23" s="54"/>
      <c r="AH23" s="66" t="e">
        <f t="shared" si="7"/>
        <v>#DIV/0!</v>
      </c>
      <c r="AI23" s="66" t="e">
        <f t="shared" si="7"/>
        <v>#DIV/0!</v>
      </c>
      <c r="AJ23" s="66" t="e">
        <f t="shared" si="7"/>
        <v>#DIV/0!</v>
      </c>
      <c r="AK23" s="67"/>
      <c r="AL23" s="67"/>
      <c r="AM23" s="66" t="e">
        <f>IF(AND(AF23&gt;=10%,AF23&lt;=19%),"1",IF(AND(AF23&gt;=20%,AF23&lt;=29%),"2",IF(AND(AF23&gt;=30%,AF23&lt;=39%),"3",IF(AND(AF23&gt;=40%,AF23&lt;=49%),"4",IF(AND(AF23&gt;=50%,AF23&lt;=59%),"5",IF(AND(AF23&gt;=60%,AF23&lt;=69%),"6",IF(AND(AF23&gt;=70%,AF23&lt;=79%),"7",IF(AND(AF23&gt;=80%,AF23&lt;=89%),"8",IF(AND(AF23&gt;=90%,AF23&lt;=99%),"9",IF(AND(AF23&gt;=100%,AF23&lt;=105%),"10",IF(AND(AF23&gt;=106%),"0","0")))))))))))</f>
        <v>#DIV/0!</v>
      </c>
      <c r="AN23" s="67"/>
      <c r="AO23" s="76">
        <v>40</v>
      </c>
      <c r="AP23" s="79">
        <v>40</v>
      </c>
      <c r="AQ23" s="81">
        <f>SUM(H23,L23,Q23,AO23)</f>
        <v>65</v>
      </c>
      <c r="AR23" s="82">
        <f t="shared" si="10"/>
        <v>65</v>
      </c>
      <c r="AS23" s="80"/>
      <c r="AT23" s="80"/>
      <c r="AU23" s="83"/>
      <c r="AV23" s="2"/>
      <c r="AW23" s="2"/>
      <c r="AX23" s="2"/>
      <c r="AY23" s="2"/>
    </row>
    <row r="24" spans="1:51" ht="26.25" customHeight="1" thickBot="1" x14ac:dyDescent="0.5">
      <c r="A24" s="7"/>
      <c r="B24" s="440"/>
      <c r="C24" s="345" t="s">
        <v>60</v>
      </c>
      <c r="D24" s="422" t="s">
        <v>61</v>
      </c>
      <c r="E24" s="155">
        <v>2</v>
      </c>
      <c r="F24" s="155">
        <v>2</v>
      </c>
      <c r="G24" s="155">
        <v>2</v>
      </c>
      <c r="H24" s="401">
        <f t="shared" ref="H24" si="12">E24+F24+G24</f>
        <v>6</v>
      </c>
      <c r="I24" s="213">
        <v>6</v>
      </c>
      <c r="J24" s="345">
        <v>2</v>
      </c>
      <c r="K24" s="345">
        <v>2</v>
      </c>
      <c r="L24" s="241">
        <f>SUM(J24:K26)</f>
        <v>4</v>
      </c>
      <c r="M24" s="212">
        <v>4</v>
      </c>
      <c r="N24" s="343">
        <v>5</v>
      </c>
      <c r="O24" s="335">
        <v>5</v>
      </c>
      <c r="P24" s="335">
        <v>5</v>
      </c>
      <c r="Q24" s="384">
        <f>SUM(N24:P26)</f>
        <v>15</v>
      </c>
      <c r="R24" s="212">
        <v>15</v>
      </c>
      <c r="S24" s="335">
        <v>96</v>
      </c>
      <c r="T24" s="335">
        <v>96</v>
      </c>
      <c r="U24" s="359">
        <v>93</v>
      </c>
      <c r="V24" s="336"/>
      <c r="W24" s="363">
        <v>96</v>
      </c>
      <c r="X24" s="351"/>
      <c r="Y24" s="344"/>
      <c r="Z24" s="339"/>
      <c r="AA24" s="285">
        <f>S24/W24</f>
        <v>1</v>
      </c>
      <c r="AB24" s="285">
        <f>T24/W24</f>
        <v>1</v>
      </c>
      <c r="AC24" s="285">
        <f>U24/W24</f>
        <v>0.96875</v>
      </c>
      <c r="AD24" s="304"/>
      <c r="AE24" s="305"/>
      <c r="AF24" s="276"/>
      <c r="AG24" s="273"/>
      <c r="AH24" s="245" t="str">
        <f t="shared" si="7"/>
        <v>10</v>
      </c>
      <c r="AI24" s="245" t="str">
        <f t="shared" si="7"/>
        <v>10</v>
      </c>
      <c r="AJ24" s="245" t="str">
        <f t="shared" si="7"/>
        <v>9</v>
      </c>
      <c r="AK24" s="264"/>
      <c r="AL24" s="264"/>
      <c r="AM24" s="264"/>
      <c r="AN24" s="247"/>
      <c r="AO24" s="238">
        <f>AH24+AI24+AJ24+AL24</f>
        <v>29</v>
      </c>
      <c r="AP24" s="229">
        <v>30</v>
      </c>
      <c r="AQ24" s="223">
        <f>SUM(H24,L24,Q24,AO24)</f>
        <v>54</v>
      </c>
      <c r="AR24" s="207">
        <f t="shared" ref="AR24:AR33" si="13">SUM(AP24,R24,M24,I24)</f>
        <v>55</v>
      </c>
      <c r="AS24" s="198"/>
      <c r="AT24" s="198"/>
      <c r="AU24" s="75"/>
    </row>
    <row r="25" spans="1:51" ht="26.25" customHeight="1" thickBot="1" x14ac:dyDescent="0.5">
      <c r="A25" s="7"/>
      <c r="B25" s="440"/>
      <c r="C25" s="346"/>
      <c r="D25" s="423"/>
      <c r="E25" s="155"/>
      <c r="F25" s="155"/>
      <c r="G25" s="155"/>
      <c r="H25" s="401"/>
      <c r="I25" s="214"/>
      <c r="J25" s="346"/>
      <c r="K25" s="346"/>
      <c r="L25" s="242"/>
      <c r="M25" s="212"/>
      <c r="N25" s="343"/>
      <c r="O25" s="335"/>
      <c r="P25" s="335"/>
      <c r="Q25" s="384"/>
      <c r="R25" s="212"/>
      <c r="S25" s="335"/>
      <c r="T25" s="335"/>
      <c r="U25" s="359"/>
      <c r="V25" s="337"/>
      <c r="W25" s="363"/>
      <c r="X25" s="352"/>
      <c r="Y25" s="344"/>
      <c r="Z25" s="339"/>
      <c r="AA25" s="285"/>
      <c r="AB25" s="285"/>
      <c r="AC25" s="285"/>
      <c r="AD25" s="304"/>
      <c r="AE25" s="305"/>
      <c r="AF25" s="276"/>
      <c r="AG25" s="274"/>
      <c r="AH25" s="245"/>
      <c r="AI25" s="245"/>
      <c r="AJ25" s="245"/>
      <c r="AK25" s="264"/>
      <c r="AL25" s="264"/>
      <c r="AM25" s="264"/>
      <c r="AN25" s="248"/>
      <c r="AO25" s="239"/>
      <c r="AP25" s="229"/>
      <c r="AQ25" s="224"/>
      <c r="AR25" s="207"/>
      <c r="AS25" s="199"/>
      <c r="AT25" s="199"/>
      <c r="AU25" s="75"/>
    </row>
    <row r="26" spans="1:51" ht="26.25" customHeight="1" thickBot="1" x14ac:dyDescent="0.5">
      <c r="A26" s="7"/>
      <c r="B26" s="440"/>
      <c r="C26" s="347"/>
      <c r="D26" s="424"/>
      <c r="E26" s="155"/>
      <c r="F26" s="155"/>
      <c r="G26" s="155"/>
      <c r="H26" s="401"/>
      <c r="I26" s="215"/>
      <c r="J26" s="347"/>
      <c r="K26" s="347"/>
      <c r="L26" s="243"/>
      <c r="M26" s="212"/>
      <c r="N26" s="343"/>
      <c r="O26" s="335"/>
      <c r="P26" s="335"/>
      <c r="Q26" s="384"/>
      <c r="R26" s="212"/>
      <c r="S26" s="335"/>
      <c r="T26" s="335"/>
      <c r="U26" s="359"/>
      <c r="V26" s="338"/>
      <c r="W26" s="363"/>
      <c r="X26" s="353"/>
      <c r="Y26" s="344"/>
      <c r="Z26" s="339"/>
      <c r="AA26" s="286"/>
      <c r="AB26" s="286"/>
      <c r="AC26" s="286"/>
      <c r="AD26" s="304"/>
      <c r="AE26" s="305"/>
      <c r="AF26" s="276"/>
      <c r="AG26" s="275"/>
      <c r="AH26" s="245"/>
      <c r="AI26" s="245"/>
      <c r="AJ26" s="245"/>
      <c r="AK26" s="264"/>
      <c r="AL26" s="264"/>
      <c r="AM26" s="264"/>
      <c r="AN26" s="249"/>
      <c r="AO26" s="240"/>
      <c r="AP26" s="229"/>
      <c r="AQ26" s="224"/>
      <c r="AR26" s="207"/>
      <c r="AS26" s="200"/>
      <c r="AT26" s="200"/>
      <c r="AU26" s="75"/>
    </row>
    <row r="27" spans="1:51" ht="26.25" customHeight="1" thickBot="1" x14ac:dyDescent="0.5">
      <c r="A27" s="7"/>
      <c r="B27" s="440"/>
      <c r="C27" s="345" t="s">
        <v>62</v>
      </c>
      <c r="D27" s="422" t="s">
        <v>63</v>
      </c>
      <c r="E27" s="155">
        <v>2</v>
      </c>
      <c r="F27" s="155">
        <v>2</v>
      </c>
      <c r="G27" s="155">
        <v>2</v>
      </c>
      <c r="H27" s="401">
        <f t="shared" ref="H27" si="14">E27+F27+G27</f>
        <v>6</v>
      </c>
      <c r="I27" s="213">
        <v>6</v>
      </c>
      <c r="J27" s="345">
        <v>2</v>
      </c>
      <c r="K27" s="345">
        <v>2</v>
      </c>
      <c r="L27" s="241">
        <f>SUM(J27:K29)</f>
        <v>4</v>
      </c>
      <c r="M27" s="212">
        <v>4</v>
      </c>
      <c r="N27" s="343">
        <v>5</v>
      </c>
      <c r="O27" s="335">
        <v>5</v>
      </c>
      <c r="P27" s="335">
        <v>5</v>
      </c>
      <c r="Q27" s="384">
        <f>SUM(N27:P29)</f>
        <v>15</v>
      </c>
      <c r="R27" s="212">
        <v>15</v>
      </c>
      <c r="S27" s="335">
        <v>96</v>
      </c>
      <c r="T27" s="335">
        <v>96</v>
      </c>
      <c r="U27" s="359">
        <v>93</v>
      </c>
      <c r="V27" s="359">
        <v>94</v>
      </c>
      <c r="W27" s="335">
        <v>96</v>
      </c>
      <c r="X27" s="339"/>
      <c r="Y27" s="344"/>
      <c r="Z27" s="335">
        <v>0</v>
      </c>
      <c r="AA27" s="284">
        <f>S27/W27</f>
        <v>1</v>
      </c>
      <c r="AB27" s="284">
        <f>T27/W27</f>
        <v>1</v>
      </c>
      <c r="AC27" s="284">
        <f>U27/W27</f>
        <v>0.96875</v>
      </c>
      <c r="AD27" s="312">
        <f>V27/W27</f>
        <v>0.97916666666666663</v>
      </c>
      <c r="AE27" s="277">
        <f>X27/W27</f>
        <v>0</v>
      </c>
      <c r="AF27" s="276"/>
      <c r="AG27" s="287">
        <f>Z27/W27</f>
        <v>0</v>
      </c>
      <c r="AH27" s="255" t="str">
        <f>IF(AND(AA27&gt;=10%,AA27&lt;=19%),"1",IF(AND(AA27&gt;=20%,AA27&lt;=29%),"2",IF(AND(AA27&gt;=30%,AA27&lt;=39%),"3",IF(AND(AA27&gt;=40%,AA27&lt;=49%),"4",IF(AND(AA27&gt;=50%,AA27&lt;=59%),"5",IF(AND(AA27&gt;=60%,AA27&lt;=69%),"6",IF(AND(AA27&gt;=70%,AA27&lt;=79%),"7",IF(AND(AA27&gt;=80%,AA27&lt;=89%),"8",IF(AND(AA27&gt;=90%,AA27&lt;=99%),"9",IF(AND(AA27&gt;=100%,AA27&lt;=105%),"10",IF(AND(AA27&gt;=106%),"0","0")))))))))))</f>
        <v>10</v>
      </c>
      <c r="AI27" s="255" t="str">
        <f t="shared" ref="AI27:AK27" si="15">IF(AND(AB27&gt;=10%,AB27&lt;=19%),"1",IF(AND(AB27&gt;=20%,AB27&lt;=29%),"2",IF(AND(AB27&gt;=30%,AB27&lt;=39%),"3",IF(AND(AB27&gt;=40%,AB27&lt;=49%),"4",IF(AND(AB27&gt;=50%,AB27&lt;=59%),"5",IF(AND(AB27&gt;=60%,AB27&lt;=69%),"6",IF(AND(AB27&gt;=70%,AB27&lt;=79%),"7",IF(AND(AB27&gt;=80%,AB27&lt;=89%),"8",IF(AND(AB27&gt;=90%,AB27&lt;=99%),"9",IF(AND(AB27&gt;=100%,AB27&lt;=105%),"10",IF(AND(AB27&gt;=106%),"0","0")))))))))))</f>
        <v>10</v>
      </c>
      <c r="AJ27" s="255" t="str">
        <f t="shared" si="15"/>
        <v>9</v>
      </c>
      <c r="AK27" s="255" t="str">
        <f t="shared" si="15"/>
        <v>9</v>
      </c>
      <c r="AL27" s="264"/>
      <c r="AM27" s="264"/>
      <c r="AN27" s="250" t="str">
        <f>IF(AND(AG27&gt;=10%,AG27&lt;=19%),"1",IF(AND(AG27&gt;=20%,AG27&lt;=29%),"2",IF(AND(AG27&gt;=30%,AG27&lt;=39%),"3",IF(AND(AG27&gt;=40%,AG27&lt;=49%),"4",IF(AND(AG27&gt;=50%,AG27&lt;=59%),"5",IF(AND(AG27&gt;=60%,AG27&lt;=69%),"6",IF(AND(AG27&gt;=70%,AG27&lt;=79%),"7",IF(AND(AG27&gt;=80%,AG27&lt;=89%),"8",IF(AND(AG27&gt;=90%,AG27&lt;=99%),"9",IF(AND(AG27&gt;=100%,AG27&lt;=105%),"10",IF(AND(AG27&gt;=106%),"0","0")))))))))))</f>
        <v>0</v>
      </c>
      <c r="AO27" s="238">
        <f>AH27+AI27+AJ27+AK27+AL27+AN27</f>
        <v>38</v>
      </c>
      <c r="AP27" s="229">
        <v>50</v>
      </c>
      <c r="AQ27" s="223">
        <f>SUM(H27,L27,Q27,AO27)</f>
        <v>63</v>
      </c>
      <c r="AR27" s="207">
        <f t="shared" si="13"/>
        <v>75</v>
      </c>
      <c r="AS27" s="198"/>
      <c r="AT27" s="198"/>
      <c r="AU27" s="75"/>
    </row>
    <row r="28" spans="1:51" ht="26.25" customHeight="1" thickBot="1" x14ac:dyDescent="0.5">
      <c r="A28" s="7"/>
      <c r="B28" s="440"/>
      <c r="C28" s="346"/>
      <c r="D28" s="423"/>
      <c r="E28" s="155"/>
      <c r="F28" s="155"/>
      <c r="G28" s="155"/>
      <c r="H28" s="401"/>
      <c r="I28" s="214"/>
      <c r="J28" s="346"/>
      <c r="K28" s="346"/>
      <c r="L28" s="242"/>
      <c r="M28" s="212"/>
      <c r="N28" s="343"/>
      <c r="O28" s="335"/>
      <c r="P28" s="335"/>
      <c r="Q28" s="384"/>
      <c r="R28" s="212"/>
      <c r="S28" s="335"/>
      <c r="T28" s="335"/>
      <c r="U28" s="359"/>
      <c r="V28" s="359"/>
      <c r="W28" s="335"/>
      <c r="X28" s="339"/>
      <c r="Y28" s="344"/>
      <c r="Z28" s="335"/>
      <c r="AA28" s="285"/>
      <c r="AB28" s="285"/>
      <c r="AC28" s="285"/>
      <c r="AD28" s="312"/>
      <c r="AE28" s="277"/>
      <c r="AF28" s="276"/>
      <c r="AG28" s="288"/>
      <c r="AH28" s="255"/>
      <c r="AI28" s="255"/>
      <c r="AJ28" s="255"/>
      <c r="AK28" s="255"/>
      <c r="AL28" s="264"/>
      <c r="AM28" s="264"/>
      <c r="AN28" s="250"/>
      <c r="AO28" s="239"/>
      <c r="AP28" s="229"/>
      <c r="AQ28" s="224"/>
      <c r="AR28" s="207"/>
      <c r="AS28" s="199"/>
      <c r="AT28" s="199"/>
      <c r="AU28" s="75"/>
    </row>
    <row r="29" spans="1:51" ht="26.25" customHeight="1" thickBot="1" x14ac:dyDescent="0.5">
      <c r="A29" s="7"/>
      <c r="B29" s="440"/>
      <c r="C29" s="347"/>
      <c r="D29" s="424"/>
      <c r="E29" s="155"/>
      <c r="F29" s="155"/>
      <c r="G29" s="155"/>
      <c r="H29" s="401"/>
      <c r="I29" s="215"/>
      <c r="J29" s="347"/>
      <c r="K29" s="347"/>
      <c r="L29" s="243"/>
      <c r="M29" s="212"/>
      <c r="N29" s="343"/>
      <c r="O29" s="335"/>
      <c r="P29" s="335"/>
      <c r="Q29" s="384"/>
      <c r="R29" s="212"/>
      <c r="S29" s="335"/>
      <c r="T29" s="335"/>
      <c r="U29" s="359"/>
      <c r="V29" s="359"/>
      <c r="W29" s="335"/>
      <c r="X29" s="339"/>
      <c r="Y29" s="344"/>
      <c r="Z29" s="335"/>
      <c r="AA29" s="286"/>
      <c r="AB29" s="286"/>
      <c r="AC29" s="286"/>
      <c r="AD29" s="312"/>
      <c r="AE29" s="277"/>
      <c r="AF29" s="276"/>
      <c r="AG29" s="289"/>
      <c r="AH29" s="255"/>
      <c r="AI29" s="255"/>
      <c r="AJ29" s="255"/>
      <c r="AK29" s="255"/>
      <c r="AL29" s="264"/>
      <c r="AM29" s="264"/>
      <c r="AN29" s="251"/>
      <c r="AO29" s="240"/>
      <c r="AP29" s="229"/>
      <c r="AQ29" s="224"/>
      <c r="AR29" s="207"/>
      <c r="AS29" s="200"/>
      <c r="AT29" s="200"/>
      <c r="AU29" s="75"/>
    </row>
    <row r="30" spans="1:51" ht="26.25" customHeight="1" thickBot="1" x14ac:dyDescent="0.5">
      <c r="A30" s="7"/>
      <c r="B30" s="440"/>
      <c r="C30" s="345" t="s">
        <v>64</v>
      </c>
      <c r="D30" s="422" t="s">
        <v>65</v>
      </c>
      <c r="E30" s="155">
        <v>2</v>
      </c>
      <c r="F30" s="155">
        <v>2</v>
      </c>
      <c r="G30" s="155">
        <v>2</v>
      </c>
      <c r="H30" s="401">
        <f t="shared" ref="H30" si="16">E30+F30+G30</f>
        <v>6</v>
      </c>
      <c r="I30" s="213">
        <v>6</v>
      </c>
      <c r="J30" s="345">
        <v>2</v>
      </c>
      <c r="K30" s="345">
        <v>2</v>
      </c>
      <c r="L30" s="241">
        <f>SUM(J30:K32)</f>
        <v>4</v>
      </c>
      <c r="M30" s="213">
        <v>4</v>
      </c>
      <c r="N30" s="343">
        <v>5</v>
      </c>
      <c r="O30" s="335">
        <v>5</v>
      </c>
      <c r="P30" s="372">
        <v>5</v>
      </c>
      <c r="Q30" s="384">
        <f>SUM(N30:P32)</f>
        <v>15</v>
      </c>
      <c r="R30" s="213">
        <v>15</v>
      </c>
      <c r="S30" s="372">
        <v>3</v>
      </c>
      <c r="T30" s="372">
        <v>3</v>
      </c>
      <c r="U30" s="368">
        <v>1</v>
      </c>
      <c r="V30" s="368">
        <v>2</v>
      </c>
      <c r="W30" s="360">
        <v>3</v>
      </c>
      <c r="X30" s="351"/>
      <c r="Y30" s="351"/>
      <c r="Z30" s="340"/>
      <c r="AA30" s="284">
        <f>S30/W30</f>
        <v>1</v>
      </c>
      <c r="AB30" s="284">
        <f>T30/W30</f>
        <v>1</v>
      </c>
      <c r="AC30" s="284">
        <f>U30/W30</f>
        <v>0.33333333333333331</v>
      </c>
      <c r="AD30" s="316">
        <f>V30/W30</f>
        <v>0.66666666666666663</v>
      </c>
      <c r="AE30" s="287">
        <f>X30/W30</f>
        <v>0</v>
      </c>
      <c r="AF30" s="273"/>
      <c r="AG30" s="287">
        <f>Z30/W30</f>
        <v>0</v>
      </c>
      <c r="AH30" s="265" t="str">
        <f>IF(AND(AA30&gt;=10%,AA30&lt;=19%),"1",IF(AND(AA30&gt;=20%,AA30&lt;=29%),"2",IF(AND(AA30&gt;=30%,AA30&lt;=39%),"3",IF(AND(AA30&gt;=40%,AA30&lt;=49%),"4",IF(AND(AA30&gt;=50%,AA30&lt;=59%),"5",IF(AND(AA30&gt;=60%,AA30&lt;=69%),"6",IF(AND(AA30&gt;=70%,AA30&lt;=79%),"7",IF(AND(AA30&gt;=80%,AA30&lt;=89%),"8",IF(AND(AA30&gt;=90%,AA30&lt;=99%),"9",IF(AND(AA30&gt;=100%,AA30&lt;=105%),"10",IF(AND(AA30&gt;=106%),"0","0")))))))))))</f>
        <v>10</v>
      </c>
      <c r="AI30" s="265" t="str">
        <f>IF(AND(AB30&gt;=10%,AB30&lt;=19%),"1",IF(AND(AB30&gt;=20%,AB30&lt;=29%),"2",IF(AND(AB30&gt;=30%,AB30&lt;=39%),"3",IF(AND(AB30&gt;=40%,AB30&lt;=49%),"4",IF(AND(AB30&gt;=50%,AB30&lt;=59%),"5",IF(AND(AB30&gt;=60%,AB30&lt;=69%),"6",IF(AND(AB30&gt;=70%,AB30&lt;=79%),"7",IF(AND(AB30&gt;=80%,AB30&lt;=89%),"8",IF(AND(AB30&gt;=90%,AB30&lt;=99%),"9",IF(AND(AB30&gt;=100%,AB30&lt;=105%),"10",IF(AND(AB30&gt;=106%),"0","0")))))))))))</f>
        <v>10</v>
      </c>
      <c r="AJ30" s="265" t="str">
        <f>IF(AND(AC30&gt;=10%,AC30&lt;=19%),"1",IF(AND(AC30&gt;=20%,AC30&lt;=29%),"2",IF(AND(AC30&gt;=30%,AC30&lt;=39%),"3",IF(AND(AC30&gt;=40%,AC30&lt;=49%),"4",IF(AND(AC30&gt;=50%,AC30&lt;=59%),"5",IF(AND(AC30&gt;=60%,AC30&lt;=69%),"6",IF(AND(AC30&gt;=70%,AC30&lt;=79%),"7",IF(AND(AC30&gt;=80%,AC30&lt;=89%),"8",IF(AND(AC30&gt;=90%,AC30&lt;=99%),"9",IF(AND(AC30&gt;=100%,AC30&lt;=105%),"10",IF(AND(AC30&gt;=106%),"0","0")))))))))))</f>
        <v>3</v>
      </c>
      <c r="AK30" s="270" t="str">
        <f>IF(AND(AD30&gt;=10%,AD30&lt;=19%),"1",IF(AND(AD30&gt;=20%,AD30&lt;=29%),"2",IF(AND(AD30&gt;=30%,AD30&lt;=39%),"3",IF(AND(AD30&gt;=40%,AD30&lt;=49%),"4",IF(AND(AD30&gt;=50%,AD30&lt;=59%),"5",IF(AND(AD30&gt;=60%,AD30&lt;=69%),"6",IF(AND(AD30&gt;=70%,AD30&lt;=79%),"7",IF(AND(AD30&gt;=80%,AD30&lt;=89%),"8",IF(AND(AD30&gt;=90%,AD30&lt;=99%),"9",IF(AND(AD30&gt;=100%,AD30&lt;=105%),"10",IF(AND(AD30&gt;=106%),"0","0")))))))))))</f>
        <v>6</v>
      </c>
      <c r="AL30" s="247"/>
      <c r="AM30" s="264"/>
      <c r="AN30" s="252"/>
      <c r="AO30" s="238">
        <f>AH30+AI30+AJ30+AK30+AL30+AN30</f>
        <v>29</v>
      </c>
      <c r="AP30" s="230">
        <v>40</v>
      </c>
      <c r="AQ30" s="223">
        <f>SUM(H30,L30,Q30,AO30)</f>
        <v>54</v>
      </c>
      <c r="AR30" s="207">
        <f t="shared" si="13"/>
        <v>65</v>
      </c>
      <c r="AS30" s="198"/>
      <c r="AT30" s="198"/>
      <c r="AU30" s="75"/>
    </row>
    <row r="31" spans="1:51" ht="26.25" customHeight="1" thickBot="1" x14ac:dyDescent="0.5">
      <c r="A31" s="7"/>
      <c r="B31" s="440"/>
      <c r="C31" s="346"/>
      <c r="D31" s="423"/>
      <c r="E31" s="155"/>
      <c r="F31" s="155"/>
      <c r="G31" s="155"/>
      <c r="H31" s="401"/>
      <c r="I31" s="214"/>
      <c r="J31" s="346"/>
      <c r="K31" s="346"/>
      <c r="L31" s="242"/>
      <c r="M31" s="214"/>
      <c r="N31" s="343"/>
      <c r="O31" s="335"/>
      <c r="P31" s="373"/>
      <c r="Q31" s="384"/>
      <c r="R31" s="214"/>
      <c r="S31" s="373"/>
      <c r="T31" s="373"/>
      <c r="U31" s="369"/>
      <c r="V31" s="369"/>
      <c r="W31" s="361"/>
      <c r="X31" s="352"/>
      <c r="Y31" s="352"/>
      <c r="Z31" s="341"/>
      <c r="AA31" s="285"/>
      <c r="AB31" s="285"/>
      <c r="AC31" s="285"/>
      <c r="AD31" s="317"/>
      <c r="AE31" s="288"/>
      <c r="AF31" s="274"/>
      <c r="AG31" s="288"/>
      <c r="AH31" s="246"/>
      <c r="AI31" s="246"/>
      <c r="AJ31" s="246"/>
      <c r="AK31" s="250"/>
      <c r="AL31" s="248"/>
      <c r="AM31" s="264"/>
      <c r="AN31" s="253"/>
      <c r="AO31" s="239"/>
      <c r="AP31" s="231"/>
      <c r="AQ31" s="224"/>
      <c r="AR31" s="207"/>
      <c r="AS31" s="199"/>
      <c r="AT31" s="199"/>
      <c r="AU31" s="75"/>
    </row>
    <row r="32" spans="1:51" ht="26.25" customHeight="1" thickBot="1" x14ac:dyDescent="0.5">
      <c r="A32" s="7"/>
      <c r="B32" s="440"/>
      <c r="C32" s="347"/>
      <c r="D32" s="424"/>
      <c r="E32" s="155"/>
      <c r="F32" s="155"/>
      <c r="G32" s="155"/>
      <c r="H32" s="401"/>
      <c r="I32" s="215"/>
      <c r="J32" s="347"/>
      <c r="K32" s="347"/>
      <c r="L32" s="243"/>
      <c r="M32" s="215"/>
      <c r="N32" s="343"/>
      <c r="O32" s="335"/>
      <c r="P32" s="355"/>
      <c r="Q32" s="384"/>
      <c r="R32" s="215"/>
      <c r="S32" s="355"/>
      <c r="T32" s="355"/>
      <c r="U32" s="370"/>
      <c r="V32" s="370"/>
      <c r="W32" s="362"/>
      <c r="X32" s="353"/>
      <c r="Y32" s="353"/>
      <c r="Z32" s="342"/>
      <c r="AA32" s="286"/>
      <c r="AB32" s="286"/>
      <c r="AC32" s="286"/>
      <c r="AD32" s="318"/>
      <c r="AE32" s="289"/>
      <c r="AF32" s="275"/>
      <c r="AG32" s="289"/>
      <c r="AH32" s="244"/>
      <c r="AI32" s="244"/>
      <c r="AJ32" s="244"/>
      <c r="AK32" s="251"/>
      <c r="AL32" s="249"/>
      <c r="AM32" s="264"/>
      <c r="AN32" s="254"/>
      <c r="AO32" s="240"/>
      <c r="AP32" s="232"/>
      <c r="AQ32" s="224"/>
      <c r="AR32" s="207"/>
      <c r="AS32" s="200"/>
      <c r="AT32" s="200"/>
      <c r="AU32" s="75"/>
    </row>
    <row r="33" spans="1:47" ht="26.25" customHeight="1" thickBot="1" x14ac:dyDescent="0.5">
      <c r="A33" s="7"/>
      <c r="B33" s="440"/>
      <c r="C33" s="345" t="s">
        <v>66</v>
      </c>
      <c r="D33" s="422" t="s">
        <v>67</v>
      </c>
      <c r="E33" s="155">
        <v>2</v>
      </c>
      <c r="F33" s="155">
        <v>2</v>
      </c>
      <c r="G33" s="155">
        <v>2</v>
      </c>
      <c r="H33" s="401">
        <f t="shared" ref="H33" si="17">E33+F33+G33</f>
        <v>6</v>
      </c>
      <c r="I33" s="213">
        <v>6</v>
      </c>
      <c r="J33" s="345">
        <v>2</v>
      </c>
      <c r="K33" s="345">
        <v>2</v>
      </c>
      <c r="L33" s="241">
        <f>SUM(J33:K35)</f>
        <v>4</v>
      </c>
      <c r="M33" s="212">
        <v>4</v>
      </c>
      <c r="N33" s="343">
        <v>5</v>
      </c>
      <c r="O33" s="335">
        <v>5</v>
      </c>
      <c r="P33" s="335">
        <v>5</v>
      </c>
      <c r="Q33" s="384">
        <f>SUM(N33:P35)</f>
        <v>15</v>
      </c>
      <c r="R33" s="212">
        <v>15</v>
      </c>
      <c r="S33" s="335">
        <v>3</v>
      </c>
      <c r="T33" s="335">
        <v>3</v>
      </c>
      <c r="U33" s="359">
        <v>1</v>
      </c>
      <c r="V33" s="339"/>
      <c r="W33" s="363">
        <v>3</v>
      </c>
      <c r="X33" s="351"/>
      <c r="Y33" s="339"/>
      <c r="Z33" s="339"/>
      <c r="AA33" s="284">
        <f>S33/W33</f>
        <v>1</v>
      </c>
      <c r="AB33" s="284">
        <f>T33/W33</f>
        <v>1</v>
      </c>
      <c r="AC33" s="284">
        <f>U33/W33</f>
        <v>0.33333333333333331</v>
      </c>
      <c r="AD33" s="304"/>
      <c r="AE33" s="277">
        <f>X33/W33</f>
        <v>0</v>
      </c>
      <c r="AF33" s="277">
        <f>Y33/W33</f>
        <v>0</v>
      </c>
      <c r="AG33" s="273"/>
      <c r="AH33" s="245" t="str">
        <f t="shared" ref="AH33:AJ33" si="18">IF(AND(AA33&gt;=10%,AA33&lt;=19%),"1",IF(AND(AA33&gt;=20%,AA33&lt;=29%),"2",IF(AND(AA33&gt;=30%,AA33&lt;=39%),"3",IF(AND(AA33&gt;=40%,AA33&lt;=49%),"4",IF(AND(AA33&gt;=50%,AA33&lt;=59%),"5",IF(AND(AA33&gt;=60%,AA33&lt;=69%),"6",IF(AND(AA33&gt;=70%,AA33&lt;=79%),"7",IF(AND(AA33&gt;=80%,AA33&lt;=89%),"8",IF(AND(AA33&gt;=90%,AA33&lt;=99%),"9",IF(AND(AA33&gt;=100%,AA33&lt;=105%),"10",IF(AND(AA33&gt;=106%),"0","0")))))))))))</f>
        <v>10</v>
      </c>
      <c r="AI33" s="245" t="str">
        <f t="shared" si="18"/>
        <v>10</v>
      </c>
      <c r="AJ33" s="245" t="str">
        <f t="shared" si="18"/>
        <v>3</v>
      </c>
      <c r="AK33" s="264"/>
      <c r="AL33" s="264"/>
      <c r="AM33" s="247"/>
      <c r="AN33" s="247"/>
      <c r="AO33" s="238">
        <f>AH33+AI33+AJ33+AL33+AM33</f>
        <v>23</v>
      </c>
      <c r="AP33" s="229">
        <v>30</v>
      </c>
      <c r="AQ33" s="223">
        <f>SUM(H33,L33,Q33,AO33)</f>
        <v>48</v>
      </c>
      <c r="AR33" s="207">
        <f t="shared" si="13"/>
        <v>55</v>
      </c>
      <c r="AS33" s="198"/>
      <c r="AT33" s="198"/>
      <c r="AU33" s="75"/>
    </row>
    <row r="34" spans="1:47" ht="26.25" customHeight="1" thickBot="1" x14ac:dyDescent="0.5">
      <c r="A34" s="7"/>
      <c r="B34" s="440"/>
      <c r="C34" s="346"/>
      <c r="D34" s="423"/>
      <c r="E34" s="155"/>
      <c r="F34" s="155"/>
      <c r="G34" s="155"/>
      <c r="H34" s="401"/>
      <c r="I34" s="214"/>
      <c r="J34" s="346"/>
      <c r="K34" s="346"/>
      <c r="L34" s="242"/>
      <c r="M34" s="212"/>
      <c r="N34" s="343"/>
      <c r="O34" s="335"/>
      <c r="P34" s="335"/>
      <c r="Q34" s="384"/>
      <c r="R34" s="212"/>
      <c r="S34" s="335"/>
      <c r="T34" s="335"/>
      <c r="U34" s="359"/>
      <c r="V34" s="339"/>
      <c r="W34" s="363"/>
      <c r="X34" s="352"/>
      <c r="Y34" s="339"/>
      <c r="Z34" s="339"/>
      <c r="AA34" s="285"/>
      <c r="AB34" s="285"/>
      <c r="AC34" s="285"/>
      <c r="AD34" s="304"/>
      <c r="AE34" s="277"/>
      <c r="AF34" s="277"/>
      <c r="AG34" s="274"/>
      <c r="AH34" s="245"/>
      <c r="AI34" s="245"/>
      <c r="AJ34" s="245"/>
      <c r="AK34" s="264"/>
      <c r="AL34" s="264"/>
      <c r="AM34" s="248"/>
      <c r="AN34" s="248"/>
      <c r="AO34" s="239"/>
      <c r="AP34" s="229"/>
      <c r="AQ34" s="224"/>
      <c r="AR34" s="207"/>
      <c r="AS34" s="199"/>
      <c r="AT34" s="199"/>
      <c r="AU34" s="75"/>
    </row>
    <row r="35" spans="1:47" ht="26.25" customHeight="1" thickBot="1" x14ac:dyDescent="0.5">
      <c r="A35" s="7"/>
      <c r="B35" s="440"/>
      <c r="C35" s="347"/>
      <c r="D35" s="424"/>
      <c r="E35" s="155"/>
      <c r="F35" s="155"/>
      <c r="G35" s="155"/>
      <c r="H35" s="401"/>
      <c r="I35" s="215"/>
      <c r="J35" s="347"/>
      <c r="K35" s="347"/>
      <c r="L35" s="243"/>
      <c r="M35" s="212"/>
      <c r="N35" s="343"/>
      <c r="O35" s="335"/>
      <c r="P35" s="335"/>
      <c r="Q35" s="384"/>
      <c r="R35" s="212"/>
      <c r="S35" s="335"/>
      <c r="T35" s="335"/>
      <c r="U35" s="359"/>
      <c r="V35" s="339"/>
      <c r="W35" s="363"/>
      <c r="X35" s="353"/>
      <c r="Y35" s="339"/>
      <c r="Z35" s="339"/>
      <c r="AA35" s="286"/>
      <c r="AB35" s="286"/>
      <c r="AC35" s="286"/>
      <c r="AD35" s="304"/>
      <c r="AE35" s="277"/>
      <c r="AF35" s="277"/>
      <c r="AG35" s="275"/>
      <c r="AH35" s="245"/>
      <c r="AI35" s="245"/>
      <c r="AJ35" s="245"/>
      <c r="AK35" s="264"/>
      <c r="AL35" s="264"/>
      <c r="AM35" s="249"/>
      <c r="AN35" s="249"/>
      <c r="AO35" s="240"/>
      <c r="AP35" s="229"/>
      <c r="AQ35" s="224"/>
      <c r="AR35" s="207"/>
      <c r="AS35" s="200"/>
      <c r="AT35" s="200"/>
      <c r="AU35" s="75"/>
    </row>
    <row r="36" spans="1:47" ht="26.25" customHeight="1" thickBot="1" x14ac:dyDescent="0.5">
      <c r="A36" s="7"/>
      <c r="B36" s="440"/>
      <c r="C36" s="345" t="s">
        <v>68</v>
      </c>
      <c r="D36" s="422" t="s">
        <v>69</v>
      </c>
      <c r="E36" s="155">
        <v>2</v>
      </c>
      <c r="F36" s="155">
        <v>2</v>
      </c>
      <c r="G36" s="155">
        <v>2</v>
      </c>
      <c r="H36" s="401">
        <f t="shared" ref="H36:H42" si="19">E36+F36+G36</f>
        <v>6</v>
      </c>
      <c r="I36" s="213">
        <v>6</v>
      </c>
      <c r="J36" s="155">
        <v>2</v>
      </c>
      <c r="K36" s="155">
        <v>2</v>
      </c>
      <c r="L36" s="241">
        <f>SUM(J36:K38)</f>
        <v>4</v>
      </c>
      <c r="M36" s="212">
        <v>4</v>
      </c>
      <c r="N36" s="343">
        <v>5</v>
      </c>
      <c r="O36" s="335">
        <v>5</v>
      </c>
      <c r="P36" s="335">
        <v>5</v>
      </c>
      <c r="Q36" s="241">
        <f>SUM(N36:P38)</f>
        <v>15</v>
      </c>
      <c r="R36" s="212">
        <v>15</v>
      </c>
      <c r="S36" s="335">
        <v>16</v>
      </c>
      <c r="T36" s="335">
        <v>16</v>
      </c>
      <c r="U36" s="359">
        <v>6</v>
      </c>
      <c r="V36" s="339"/>
      <c r="W36" s="359">
        <v>7</v>
      </c>
      <c r="X36" s="351"/>
      <c r="Y36" s="344"/>
      <c r="Z36" s="335">
        <v>16</v>
      </c>
      <c r="AA36" s="284">
        <f>S36/W36</f>
        <v>2.2857142857142856</v>
      </c>
      <c r="AB36" s="284">
        <f>T36/W36</f>
        <v>2.2857142857142856</v>
      </c>
      <c r="AC36" s="284">
        <f>U36/W36</f>
        <v>0.8571428571428571</v>
      </c>
      <c r="AD36" s="304"/>
      <c r="AE36" s="277">
        <f>X36/W36</f>
        <v>0</v>
      </c>
      <c r="AF36" s="276"/>
      <c r="AG36" s="287">
        <f>Z36/W36</f>
        <v>2.2857142857142856</v>
      </c>
      <c r="AH36" s="245" t="str">
        <f t="shared" ref="AH36:AJ36" si="20">IF(AND(AA36&gt;=10%,AA36&lt;=19%),"1",IF(AND(AA36&gt;=20%,AA36&lt;=29%),"2",IF(AND(AA36&gt;=30%,AA36&lt;=39%),"3",IF(AND(AA36&gt;=40%,AA36&lt;=49%),"4",IF(AND(AA36&gt;=50%,AA36&lt;=59%),"5",IF(AND(AA36&gt;=60%,AA36&lt;=69%),"6",IF(AND(AA36&gt;=70%,AA36&lt;=79%),"7",IF(AND(AA36&gt;=80%,AA36&lt;=89%),"8",IF(AND(AA36&gt;=90%,AA36&lt;=99%),"9",IF(AND(AA36&gt;=100%,AA36&lt;=105%),"10",IF(AND(AA36&gt;=106%),"0","0")))))))))))</f>
        <v>0</v>
      </c>
      <c r="AI36" s="245" t="str">
        <f t="shared" si="20"/>
        <v>0</v>
      </c>
      <c r="AJ36" s="245" t="str">
        <f t="shared" si="20"/>
        <v>8</v>
      </c>
      <c r="AK36" s="264"/>
      <c r="AL36" s="264"/>
      <c r="AM36" s="247"/>
      <c r="AN36" s="255" t="str">
        <f>IF(AND(AG36&gt;=10%,AG36&lt;=19%),"1",IF(AND(AG36&gt;=20%,AG36&lt;=29%),"2",IF(AND(AG36&gt;=30%,AG36&lt;=39%),"3",IF(AND(AG36&gt;=40%,AG36&lt;=49%),"4",IF(AND(AG36&gt;=50%,AG36&lt;=59%),"5",IF(AND(AG36&gt;=60%,AG36&lt;=69%),"6",IF(AND(AG36&gt;=70%,AG36&lt;=79%),"7",IF(AND(AG36&gt;=80%,AG36&lt;=89%),"8",IF(AND(AG36&gt;=90%,AG36&lt;=99%),"9",IF(AND(AG36&gt;=100%,AG36&lt;=105%),"10",IF(AND(AG36&gt;=106%),"0","0")))))))))))</f>
        <v>0</v>
      </c>
      <c r="AO36" s="238">
        <f>AH36+AI36+AJ36+AL36+AN36</f>
        <v>8</v>
      </c>
      <c r="AP36" s="229">
        <v>40</v>
      </c>
      <c r="AQ36" s="223">
        <f>SUM(H36,L36,Q36,AO36)</f>
        <v>33</v>
      </c>
      <c r="AR36" s="207">
        <f t="shared" ref="AR36:AR39" si="21">SUM(AP36,R36,M36,I36)</f>
        <v>65</v>
      </c>
      <c r="AS36" s="198"/>
      <c r="AT36" s="198"/>
      <c r="AU36" s="75"/>
    </row>
    <row r="37" spans="1:47" ht="26.25" customHeight="1" thickBot="1" x14ac:dyDescent="0.5">
      <c r="A37" s="7"/>
      <c r="B37" s="440"/>
      <c r="C37" s="346"/>
      <c r="D37" s="423"/>
      <c r="E37" s="155"/>
      <c r="F37" s="155"/>
      <c r="G37" s="155"/>
      <c r="H37" s="401"/>
      <c r="I37" s="214"/>
      <c r="J37" s="155"/>
      <c r="K37" s="155"/>
      <c r="L37" s="242"/>
      <c r="M37" s="212"/>
      <c r="N37" s="343"/>
      <c r="O37" s="335"/>
      <c r="P37" s="335"/>
      <c r="Q37" s="242"/>
      <c r="R37" s="212"/>
      <c r="S37" s="335"/>
      <c r="T37" s="335"/>
      <c r="U37" s="359"/>
      <c r="V37" s="339"/>
      <c r="W37" s="359"/>
      <c r="X37" s="352"/>
      <c r="Y37" s="344"/>
      <c r="Z37" s="335"/>
      <c r="AA37" s="285"/>
      <c r="AB37" s="285"/>
      <c r="AC37" s="285"/>
      <c r="AD37" s="304"/>
      <c r="AE37" s="277"/>
      <c r="AF37" s="276"/>
      <c r="AG37" s="288"/>
      <c r="AH37" s="245"/>
      <c r="AI37" s="245"/>
      <c r="AJ37" s="245"/>
      <c r="AK37" s="264"/>
      <c r="AL37" s="264"/>
      <c r="AM37" s="248"/>
      <c r="AN37" s="255"/>
      <c r="AO37" s="239"/>
      <c r="AP37" s="229"/>
      <c r="AQ37" s="224"/>
      <c r="AR37" s="207"/>
      <c r="AS37" s="199"/>
      <c r="AT37" s="199"/>
      <c r="AU37" s="75"/>
    </row>
    <row r="38" spans="1:47" ht="26.25" customHeight="1" thickBot="1" x14ac:dyDescent="0.5">
      <c r="A38" s="7"/>
      <c r="B38" s="440"/>
      <c r="C38" s="347"/>
      <c r="D38" s="424"/>
      <c r="E38" s="155"/>
      <c r="F38" s="155"/>
      <c r="G38" s="155"/>
      <c r="H38" s="401"/>
      <c r="I38" s="215"/>
      <c r="J38" s="155"/>
      <c r="K38" s="155"/>
      <c r="L38" s="243"/>
      <c r="M38" s="212"/>
      <c r="N38" s="343"/>
      <c r="O38" s="335"/>
      <c r="P38" s="335"/>
      <c r="Q38" s="243"/>
      <c r="R38" s="212"/>
      <c r="S38" s="335"/>
      <c r="T38" s="335"/>
      <c r="U38" s="359"/>
      <c r="V38" s="339"/>
      <c r="W38" s="359"/>
      <c r="X38" s="353"/>
      <c r="Y38" s="344"/>
      <c r="Z38" s="335"/>
      <c r="AA38" s="286"/>
      <c r="AB38" s="286"/>
      <c r="AC38" s="286"/>
      <c r="AD38" s="304"/>
      <c r="AE38" s="277"/>
      <c r="AF38" s="276"/>
      <c r="AG38" s="289"/>
      <c r="AH38" s="245"/>
      <c r="AI38" s="245"/>
      <c r="AJ38" s="245"/>
      <c r="AK38" s="264"/>
      <c r="AL38" s="264"/>
      <c r="AM38" s="249"/>
      <c r="AN38" s="255"/>
      <c r="AO38" s="240"/>
      <c r="AP38" s="229"/>
      <c r="AQ38" s="224"/>
      <c r="AR38" s="207"/>
      <c r="AS38" s="200"/>
      <c r="AT38" s="200"/>
      <c r="AU38" s="75"/>
    </row>
    <row r="39" spans="1:47" ht="26.25" customHeight="1" thickBot="1" x14ac:dyDescent="0.5">
      <c r="A39" s="7"/>
      <c r="B39" s="440"/>
      <c r="C39" s="345" t="s">
        <v>70</v>
      </c>
      <c r="D39" s="422" t="s">
        <v>71</v>
      </c>
      <c r="E39" s="155">
        <v>2</v>
      </c>
      <c r="F39" s="155">
        <v>2</v>
      </c>
      <c r="G39" s="155">
        <v>2</v>
      </c>
      <c r="H39" s="401">
        <f t="shared" si="19"/>
        <v>6</v>
      </c>
      <c r="I39" s="213">
        <v>6</v>
      </c>
      <c r="J39" s="155">
        <v>2</v>
      </c>
      <c r="K39" s="155">
        <v>2</v>
      </c>
      <c r="L39" s="241">
        <f>SUM(J39:K41)</f>
        <v>4</v>
      </c>
      <c r="M39" s="212">
        <v>4</v>
      </c>
      <c r="N39" s="343">
        <v>5</v>
      </c>
      <c r="O39" s="335">
        <v>5</v>
      </c>
      <c r="P39" s="335">
        <v>5</v>
      </c>
      <c r="Q39" s="384">
        <f>SUM(N39:P41)</f>
        <v>15</v>
      </c>
      <c r="R39" s="212">
        <v>15</v>
      </c>
      <c r="S39" s="335">
        <v>16</v>
      </c>
      <c r="T39" s="335">
        <v>16</v>
      </c>
      <c r="U39" s="335">
        <v>15</v>
      </c>
      <c r="V39" s="339"/>
      <c r="W39" s="363">
        <v>16</v>
      </c>
      <c r="X39" s="351"/>
      <c r="Y39" s="344"/>
      <c r="Z39" s="343">
        <v>16</v>
      </c>
      <c r="AA39" s="284">
        <f>S39/W39</f>
        <v>1</v>
      </c>
      <c r="AB39" s="284">
        <f>T39/W39</f>
        <v>1</v>
      </c>
      <c r="AC39" s="284">
        <f>U39/W39</f>
        <v>0.9375</v>
      </c>
      <c r="AD39" s="304"/>
      <c r="AE39" s="287">
        <f>X39/W39</f>
        <v>0</v>
      </c>
      <c r="AF39" s="276"/>
      <c r="AG39" s="287">
        <f>Z39/W39</f>
        <v>1</v>
      </c>
      <c r="AH39" s="265" t="str">
        <f t="shared" ref="AH39:AJ39" si="22">IF(AND(AA39&gt;=10%,AA39&lt;=19%),"1",IF(AND(AA39&gt;=20%,AA39&lt;=29%),"2",IF(AND(AA39&gt;=30%,AA39&lt;=39%),"3",IF(AND(AA39&gt;=40%,AA39&lt;=49%),"4",IF(AND(AA39&gt;=50%,AA39&lt;=59%),"5",IF(AND(AA39&gt;=60%,AA39&lt;=69%),"6",IF(AND(AA39&gt;=70%,AA39&lt;=79%),"7",IF(AND(AA39&gt;=80%,AA39&lt;=89%),"8",IF(AND(AA39&gt;=90%,AA39&lt;=99%),"9",IF(AND(AA39&gt;=100%,AA39&lt;=105%),"10",IF(AND(AA39&gt;=106%),"0","0")))))))))))</f>
        <v>10</v>
      </c>
      <c r="AI39" s="245" t="str">
        <f t="shared" si="22"/>
        <v>10</v>
      </c>
      <c r="AJ39" s="245" t="str">
        <f t="shared" si="22"/>
        <v>9</v>
      </c>
      <c r="AK39" s="264"/>
      <c r="AL39" s="264"/>
      <c r="AM39" s="264"/>
      <c r="AN39" s="255" t="str">
        <f>IF(AND(AG39&gt;=10%,AG39&lt;=19%),"1",IF(AND(AG39&gt;=20%,AG39&lt;=29%),"2",IF(AND(AG39&gt;=30%,AG39&lt;=39%),"3",IF(AND(AG39&gt;=40%,AG39&lt;=49%),"4",IF(AND(AG39&gt;=50%,AG39&lt;=59%),"5",IF(AND(AG39&gt;=60%,AG39&lt;=69%),"6",IF(AND(AG39&gt;=70%,AG39&lt;=79%),"7",IF(AND(AG39&gt;=80%,AG39&lt;=89%),"8",IF(AND(AG39&gt;=90%,AG39&lt;=99%),"9",IF(AND(AG39&gt;=100%,AG39&lt;=105%),"10",IF(AND(AG39&gt;=106%),"0","0")))))))))))</f>
        <v>10</v>
      </c>
      <c r="AO39" s="238">
        <f>AH39+AI39+AJ39+AL39+AN39</f>
        <v>39</v>
      </c>
      <c r="AP39" s="229">
        <v>40</v>
      </c>
      <c r="AQ39" s="223">
        <f>SUM(H39,L39,Q39,AO39)</f>
        <v>64</v>
      </c>
      <c r="AR39" s="207">
        <f t="shared" si="21"/>
        <v>65</v>
      </c>
      <c r="AS39" s="198"/>
      <c r="AT39" s="198"/>
      <c r="AU39" s="75"/>
    </row>
    <row r="40" spans="1:47" ht="25.9" customHeight="1" thickBot="1" x14ac:dyDescent="0.5">
      <c r="A40" s="7"/>
      <c r="B40" s="440"/>
      <c r="C40" s="346"/>
      <c r="D40" s="423"/>
      <c r="E40" s="155"/>
      <c r="F40" s="155"/>
      <c r="G40" s="155"/>
      <c r="H40" s="401"/>
      <c r="I40" s="214"/>
      <c r="J40" s="155"/>
      <c r="K40" s="155"/>
      <c r="L40" s="242"/>
      <c r="M40" s="212"/>
      <c r="N40" s="343"/>
      <c r="O40" s="335"/>
      <c r="P40" s="335"/>
      <c r="Q40" s="384"/>
      <c r="R40" s="212"/>
      <c r="S40" s="335"/>
      <c r="T40" s="335"/>
      <c r="U40" s="335"/>
      <c r="V40" s="339"/>
      <c r="W40" s="363"/>
      <c r="X40" s="352"/>
      <c r="Y40" s="344"/>
      <c r="Z40" s="343"/>
      <c r="AA40" s="285"/>
      <c r="AB40" s="285"/>
      <c r="AC40" s="285"/>
      <c r="AD40" s="304"/>
      <c r="AE40" s="288"/>
      <c r="AF40" s="276"/>
      <c r="AG40" s="288"/>
      <c r="AH40" s="246"/>
      <c r="AI40" s="245"/>
      <c r="AJ40" s="245"/>
      <c r="AK40" s="264"/>
      <c r="AL40" s="264"/>
      <c r="AM40" s="264"/>
      <c r="AN40" s="255"/>
      <c r="AO40" s="239"/>
      <c r="AP40" s="229"/>
      <c r="AQ40" s="224"/>
      <c r="AR40" s="207"/>
      <c r="AS40" s="199"/>
      <c r="AT40" s="199"/>
      <c r="AU40" s="75"/>
    </row>
    <row r="41" spans="1:47" ht="41.25" customHeight="1" thickBot="1" x14ac:dyDescent="0.5">
      <c r="A41" s="7"/>
      <c r="B41" s="440"/>
      <c r="C41" s="347"/>
      <c r="D41" s="424"/>
      <c r="E41" s="155"/>
      <c r="F41" s="155"/>
      <c r="G41" s="155"/>
      <c r="H41" s="401"/>
      <c r="I41" s="215"/>
      <c r="J41" s="155"/>
      <c r="K41" s="155"/>
      <c r="L41" s="243"/>
      <c r="M41" s="212"/>
      <c r="N41" s="343"/>
      <c r="O41" s="335"/>
      <c r="P41" s="335"/>
      <c r="Q41" s="384"/>
      <c r="R41" s="212"/>
      <c r="S41" s="335"/>
      <c r="T41" s="335"/>
      <c r="U41" s="335"/>
      <c r="V41" s="339"/>
      <c r="W41" s="363"/>
      <c r="X41" s="353"/>
      <c r="Y41" s="344"/>
      <c r="Z41" s="343"/>
      <c r="AA41" s="286"/>
      <c r="AB41" s="286"/>
      <c r="AC41" s="286"/>
      <c r="AD41" s="304"/>
      <c r="AE41" s="289"/>
      <c r="AF41" s="276"/>
      <c r="AG41" s="289"/>
      <c r="AH41" s="244"/>
      <c r="AI41" s="245"/>
      <c r="AJ41" s="245"/>
      <c r="AK41" s="264"/>
      <c r="AL41" s="264"/>
      <c r="AM41" s="264"/>
      <c r="AN41" s="255"/>
      <c r="AO41" s="240"/>
      <c r="AP41" s="229"/>
      <c r="AQ41" s="224"/>
      <c r="AR41" s="207"/>
      <c r="AS41" s="200"/>
      <c r="AT41" s="200"/>
      <c r="AU41" s="75"/>
    </row>
    <row r="42" spans="1:47" ht="26.25" customHeight="1" thickBot="1" x14ac:dyDescent="0.5">
      <c r="A42" s="7"/>
      <c r="B42" s="440"/>
      <c r="C42" s="345" t="s">
        <v>72</v>
      </c>
      <c r="D42" s="422" t="s">
        <v>73</v>
      </c>
      <c r="E42" s="155">
        <v>2</v>
      </c>
      <c r="F42" s="155">
        <v>2</v>
      </c>
      <c r="G42" s="155">
        <v>2</v>
      </c>
      <c r="H42" s="401">
        <f t="shared" si="19"/>
        <v>6</v>
      </c>
      <c r="I42" s="213">
        <v>6</v>
      </c>
      <c r="J42" s="155">
        <v>2</v>
      </c>
      <c r="K42" s="155">
        <v>2</v>
      </c>
      <c r="L42" s="241">
        <f>SUM(J42:K44)</f>
        <v>4</v>
      </c>
      <c r="M42" s="212">
        <v>4</v>
      </c>
      <c r="N42" s="343">
        <v>5</v>
      </c>
      <c r="O42" s="335">
        <v>5</v>
      </c>
      <c r="P42" s="335">
        <v>5</v>
      </c>
      <c r="Q42" s="384">
        <f>SUM(N42:P44)</f>
        <v>15</v>
      </c>
      <c r="R42" s="212">
        <v>15</v>
      </c>
      <c r="S42" s="335">
        <v>0</v>
      </c>
      <c r="T42" s="335">
        <v>0</v>
      </c>
      <c r="U42" s="335">
        <v>0</v>
      </c>
      <c r="V42" s="339"/>
      <c r="W42" s="363">
        <v>0</v>
      </c>
      <c r="X42" s="351"/>
      <c r="Y42" s="344"/>
      <c r="Z42" s="335">
        <v>0</v>
      </c>
      <c r="AA42" s="284" t="e">
        <f>S42/W42</f>
        <v>#DIV/0!</v>
      </c>
      <c r="AB42" s="284" t="e">
        <f>T42/W42</f>
        <v>#DIV/0!</v>
      </c>
      <c r="AC42" s="284" t="e">
        <f>U42/W42</f>
        <v>#DIV/0!</v>
      </c>
      <c r="AD42" s="304"/>
      <c r="AE42" s="287" t="e">
        <f>X42/W42</f>
        <v>#DIV/0!</v>
      </c>
      <c r="AF42" s="276"/>
      <c r="AG42" s="287" t="e">
        <f>Z42/W42</f>
        <v>#DIV/0!</v>
      </c>
      <c r="AH42" s="265" t="e">
        <f t="shared" ref="AH42:AJ42" si="23">IF(AND(AA42&gt;=10%,AA42&lt;=19%),"1",IF(AND(AA42&gt;=20%,AA42&lt;=29%),"2",IF(AND(AA42&gt;=30%,AA42&lt;=39%),"3",IF(AND(AA42&gt;=40%,AA42&lt;=49%),"4",IF(AND(AA42&gt;=50%,AA42&lt;=59%),"5",IF(AND(AA42&gt;=60%,AA42&lt;=69%),"6",IF(AND(AA42&gt;=70%,AA42&lt;=79%),"7",IF(AND(AA42&gt;=80%,AA42&lt;=89%),"8",IF(AND(AA42&gt;=90%,AA42&lt;=99%),"9",IF(AND(AA42&gt;=100%,AA42&lt;=105%),"10",IF(AND(AA42&gt;=106%),"0","0")))))))))))</f>
        <v>#DIV/0!</v>
      </c>
      <c r="AI42" s="245" t="e">
        <f t="shared" si="23"/>
        <v>#DIV/0!</v>
      </c>
      <c r="AJ42" s="245" t="e">
        <f t="shared" si="23"/>
        <v>#DIV/0!</v>
      </c>
      <c r="AK42" s="264"/>
      <c r="AL42" s="264"/>
      <c r="AM42" s="264"/>
      <c r="AN42" s="255" t="e">
        <f>IF(AND(AG42&gt;=10%,AG42&lt;=19%),"1",IF(AND(AG42&gt;=20%,AG42&lt;=29%),"2",IF(AND(AG42&gt;=30%,AG42&lt;=39%),"3",IF(AND(AG42&gt;=40%,AG42&lt;=49%),"4",IF(AND(AG42&gt;=50%,AG42&lt;=59%),"5",IF(AND(AG42&gt;=60%,AG42&lt;=69%),"6",IF(AND(AG42&gt;=70%,AG42&lt;=79%),"7",IF(AND(AG42&gt;=80%,AG42&lt;=89%),"8",IF(AND(AG42&gt;=90%,AG42&lt;=99%),"9",IF(AND(AG42&gt;=100%,AG42&lt;=105%),"10",IF(AND(AG42&gt;=106%),"0","0")))))))))))</f>
        <v>#DIV/0!</v>
      </c>
      <c r="AO42" s="238">
        <v>40</v>
      </c>
      <c r="AP42" s="229">
        <v>40</v>
      </c>
      <c r="AQ42" s="223">
        <f>SUM(H42,L42,Q42,AO42)</f>
        <v>65</v>
      </c>
      <c r="AR42" s="207">
        <f t="shared" ref="AR42" si="24">SUM(AP42,R42,M42,I42)</f>
        <v>65</v>
      </c>
      <c r="AS42" s="198"/>
      <c r="AT42" s="198"/>
      <c r="AU42" s="75"/>
    </row>
    <row r="43" spans="1:47" ht="26.25" customHeight="1" thickBot="1" x14ac:dyDescent="0.5">
      <c r="A43" s="7"/>
      <c r="B43" s="440"/>
      <c r="C43" s="346"/>
      <c r="D43" s="423"/>
      <c r="E43" s="155"/>
      <c r="F43" s="155"/>
      <c r="G43" s="155"/>
      <c r="H43" s="401"/>
      <c r="I43" s="214"/>
      <c r="J43" s="155"/>
      <c r="K43" s="155"/>
      <c r="L43" s="242"/>
      <c r="M43" s="212"/>
      <c r="N43" s="343"/>
      <c r="O43" s="335"/>
      <c r="P43" s="335"/>
      <c r="Q43" s="384"/>
      <c r="R43" s="212"/>
      <c r="S43" s="335"/>
      <c r="T43" s="335"/>
      <c r="U43" s="335"/>
      <c r="V43" s="339"/>
      <c r="W43" s="363"/>
      <c r="X43" s="352"/>
      <c r="Y43" s="344"/>
      <c r="Z43" s="335"/>
      <c r="AA43" s="285"/>
      <c r="AB43" s="285"/>
      <c r="AC43" s="285"/>
      <c r="AD43" s="304"/>
      <c r="AE43" s="288"/>
      <c r="AF43" s="276"/>
      <c r="AG43" s="288"/>
      <c r="AH43" s="246"/>
      <c r="AI43" s="245"/>
      <c r="AJ43" s="245"/>
      <c r="AK43" s="264"/>
      <c r="AL43" s="264"/>
      <c r="AM43" s="264"/>
      <c r="AN43" s="255"/>
      <c r="AO43" s="239"/>
      <c r="AP43" s="229"/>
      <c r="AQ43" s="224"/>
      <c r="AR43" s="207"/>
      <c r="AS43" s="199"/>
      <c r="AT43" s="199"/>
      <c r="AU43" s="75"/>
    </row>
    <row r="44" spans="1:47" ht="26.25" customHeight="1" thickBot="1" x14ac:dyDescent="0.5">
      <c r="A44" s="7"/>
      <c r="B44" s="440"/>
      <c r="C44" s="347"/>
      <c r="D44" s="424"/>
      <c r="E44" s="155"/>
      <c r="F44" s="155"/>
      <c r="G44" s="155"/>
      <c r="H44" s="401"/>
      <c r="I44" s="215"/>
      <c r="J44" s="155"/>
      <c r="K44" s="155"/>
      <c r="L44" s="243"/>
      <c r="M44" s="212"/>
      <c r="N44" s="343"/>
      <c r="O44" s="335"/>
      <c r="P44" s="335"/>
      <c r="Q44" s="384"/>
      <c r="R44" s="212"/>
      <c r="S44" s="335"/>
      <c r="T44" s="335"/>
      <c r="U44" s="335"/>
      <c r="V44" s="339"/>
      <c r="W44" s="363"/>
      <c r="X44" s="353"/>
      <c r="Y44" s="344"/>
      <c r="Z44" s="335"/>
      <c r="AA44" s="286"/>
      <c r="AB44" s="286"/>
      <c r="AC44" s="286"/>
      <c r="AD44" s="304"/>
      <c r="AE44" s="289"/>
      <c r="AF44" s="276"/>
      <c r="AG44" s="289"/>
      <c r="AH44" s="244"/>
      <c r="AI44" s="245"/>
      <c r="AJ44" s="245"/>
      <c r="AK44" s="264"/>
      <c r="AL44" s="264"/>
      <c r="AM44" s="264"/>
      <c r="AN44" s="255"/>
      <c r="AO44" s="240"/>
      <c r="AP44" s="229"/>
      <c r="AQ44" s="224"/>
      <c r="AR44" s="207"/>
      <c r="AS44" s="200"/>
      <c r="AT44" s="200"/>
      <c r="AU44" s="75"/>
    </row>
    <row r="45" spans="1:47" ht="60.75" customHeight="1" thickBot="1" x14ac:dyDescent="0.5">
      <c r="A45" s="7"/>
      <c r="B45" s="440"/>
      <c r="C45" s="14" t="s">
        <v>74</v>
      </c>
      <c r="D45" s="11" t="s">
        <v>75</v>
      </c>
      <c r="E45" s="14">
        <v>2</v>
      </c>
      <c r="F45" s="14">
        <v>2</v>
      </c>
      <c r="G45" s="14">
        <v>2</v>
      </c>
      <c r="H45" s="10">
        <f>SUM(E45:G45)</f>
        <v>6</v>
      </c>
      <c r="I45" s="31">
        <v>6</v>
      </c>
      <c r="J45" s="14">
        <v>2</v>
      </c>
      <c r="K45" s="14">
        <v>2</v>
      </c>
      <c r="L45" s="34">
        <f>SUM(J45:K45)</f>
        <v>4</v>
      </c>
      <c r="M45" s="26">
        <v>4</v>
      </c>
      <c r="N45" s="32">
        <v>5</v>
      </c>
      <c r="O45" s="32">
        <v>5</v>
      </c>
      <c r="P45" s="32">
        <v>5</v>
      </c>
      <c r="Q45" s="34">
        <f>SUM(N45:P45)</f>
        <v>15</v>
      </c>
      <c r="R45" s="26">
        <v>15</v>
      </c>
      <c r="S45" s="32">
        <v>0</v>
      </c>
      <c r="T45" s="32">
        <v>0</v>
      </c>
      <c r="U45" s="32">
        <v>0</v>
      </c>
      <c r="V45" s="30">
        <v>0</v>
      </c>
      <c r="W45" s="43">
        <v>0</v>
      </c>
      <c r="X45" s="147"/>
      <c r="Y45" s="151"/>
      <c r="Z45" s="57"/>
      <c r="AA45" s="58" t="e">
        <f>S45/W45</f>
        <v>#DIV/0!</v>
      </c>
      <c r="AB45" s="58" t="e">
        <f>T45/W45</f>
        <v>#DIV/0!</v>
      </c>
      <c r="AC45" s="58" t="e">
        <f>U45/W45</f>
        <v>#DIV/0!</v>
      </c>
      <c r="AD45" s="52" t="e">
        <f>V45/W45</f>
        <v>#DIV/0!</v>
      </c>
      <c r="AE45" s="55" t="e">
        <f>X45/W45</f>
        <v>#DIV/0!</v>
      </c>
      <c r="AF45" s="55" t="e">
        <f>Y45/W45</f>
        <v>#DIV/0!</v>
      </c>
      <c r="AG45" s="56"/>
      <c r="AH45" s="68" t="e">
        <f t="shared" ref="AH45:AM46" si="25">IF(AND(AA45&gt;=10%,AA45&lt;=19%),"1",IF(AND(AA45&gt;=20%,AA45&lt;=29%),"2",IF(AND(AA45&gt;=30%,AA45&lt;=39%),"3",IF(AND(AA45&gt;=40%,AA45&lt;=49%),"4",IF(AND(AA45&gt;=50%,AA45&lt;=59%),"5",IF(AND(AA45&gt;=60%,AA45&lt;=69%),"6",IF(AND(AA45&gt;=70%,AA45&lt;=79%),"7",IF(AND(AA45&gt;=80%,AA45&lt;=89%),"8",IF(AND(AA45&gt;=90%,AA45&lt;=99%),"9",IF(AND(AA45&gt;=100%,AA45&lt;=105%),"10",IF(AND(AA45&gt;=106%),"0","0")))))))))))</f>
        <v>#DIV/0!</v>
      </c>
      <c r="AI45" s="68" t="e">
        <f t="shared" si="25"/>
        <v>#DIV/0!</v>
      </c>
      <c r="AJ45" s="68" t="e">
        <f t="shared" si="25"/>
        <v>#DIV/0!</v>
      </c>
      <c r="AK45" s="68" t="e">
        <f t="shared" si="25"/>
        <v>#DIV/0!</v>
      </c>
      <c r="AL45" s="149"/>
      <c r="AM45" s="68" t="e">
        <f t="shared" si="25"/>
        <v>#DIV/0!</v>
      </c>
      <c r="AN45" s="69"/>
      <c r="AO45" s="76">
        <v>50</v>
      </c>
      <c r="AP45" s="79">
        <v>50</v>
      </c>
      <c r="AQ45" s="81">
        <f>SUM(H45,L45,Q45,AO45)</f>
        <v>75</v>
      </c>
      <c r="AR45" s="82">
        <f>SUM(AP45,R45,I45,M45)</f>
        <v>75</v>
      </c>
      <c r="AS45" s="78"/>
      <c r="AT45" s="78"/>
      <c r="AU45" s="75"/>
    </row>
    <row r="46" spans="1:47" ht="26.25" customHeight="1" thickBot="1" x14ac:dyDescent="0.5">
      <c r="A46" s="7"/>
      <c r="B46" s="440"/>
      <c r="C46" s="155" t="s">
        <v>76</v>
      </c>
      <c r="D46" s="425" t="s">
        <v>77</v>
      </c>
      <c r="E46" s="345">
        <v>2</v>
      </c>
      <c r="F46" s="345">
        <v>2</v>
      </c>
      <c r="G46" s="345">
        <v>2</v>
      </c>
      <c r="H46" s="402">
        <f>SUM(E46:G48)</f>
        <v>6</v>
      </c>
      <c r="I46" s="213">
        <v>6</v>
      </c>
      <c r="J46" s="345">
        <v>2</v>
      </c>
      <c r="K46" s="345">
        <v>2</v>
      </c>
      <c r="L46" s="241">
        <f>SUM(J46:K48)</f>
        <v>4</v>
      </c>
      <c r="M46" s="212">
        <v>4</v>
      </c>
      <c r="N46" s="372">
        <v>5</v>
      </c>
      <c r="O46" s="372">
        <v>5</v>
      </c>
      <c r="P46" s="372">
        <v>5</v>
      </c>
      <c r="Q46" s="384">
        <f>SUM(N46:P48)</f>
        <v>15</v>
      </c>
      <c r="R46" s="213">
        <v>15</v>
      </c>
      <c r="S46" s="343">
        <v>0</v>
      </c>
      <c r="T46" s="343">
        <v>0</v>
      </c>
      <c r="U46" s="335">
        <v>0</v>
      </c>
      <c r="V46" s="339"/>
      <c r="W46" s="360">
        <v>0</v>
      </c>
      <c r="X46" s="351"/>
      <c r="Y46" s="339"/>
      <c r="Z46" s="339"/>
      <c r="AA46" s="284" t="e">
        <f>S46/W46</f>
        <v>#DIV/0!</v>
      </c>
      <c r="AB46" s="284" t="e">
        <f>T46/W46</f>
        <v>#DIV/0!</v>
      </c>
      <c r="AC46" s="284" t="e">
        <f>U46/W46</f>
        <v>#DIV/0!</v>
      </c>
      <c r="AD46" s="313"/>
      <c r="AE46" s="276"/>
      <c r="AF46" s="276"/>
      <c r="AG46" s="273"/>
      <c r="AH46" s="265" t="e">
        <f t="shared" si="25"/>
        <v>#DIV/0!</v>
      </c>
      <c r="AI46" s="265" t="e">
        <f t="shared" si="25"/>
        <v>#DIV/0!</v>
      </c>
      <c r="AJ46" s="265" t="e">
        <f t="shared" si="25"/>
        <v>#DIV/0!</v>
      </c>
      <c r="AK46" s="247"/>
      <c r="AL46" s="247"/>
      <c r="AM46" s="247"/>
      <c r="AN46" s="247"/>
      <c r="AO46" s="238">
        <v>30</v>
      </c>
      <c r="AP46" s="229">
        <v>30</v>
      </c>
      <c r="AQ46" s="225">
        <f>SUM(H46,L46,Q46,AO46)</f>
        <v>55</v>
      </c>
      <c r="AR46" s="208">
        <f t="shared" ref="AR46:AR58" si="26">SUM(AP46,R46,I46,M46)</f>
        <v>55</v>
      </c>
      <c r="AS46" s="198"/>
      <c r="AT46" s="198"/>
      <c r="AU46" s="75"/>
    </row>
    <row r="47" spans="1:47" ht="26.25" customHeight="1" x14ac:dyDescent="0.45">
      <c r="A47" s="7"/>
      <c r="B47" s="440"/>
      <c r="C47" s="155"/>
      <c r="D47" s="425"/>
      <c r="E47" s="346"/>
      <c r="F47" s="346"/>
      <c r="G47" s="346"/>
      <c r="H47" s="403"/>
      <c r="I47" s="214"/>
      <c r="J47" s="346"/>
      <c r="K47" s="346"/>
      <c r="L47" s="242"/>
      <c r="M47" s="212"/>
      <c r="N47" s="373"/>
      <c r="O47" s="373"/>
      <c r="P47" s="373"/>
      <c r="Q47" s="384"/>
      <c r="R47" s="214"/>
      <c r="S47" s="343"/>
      <c r="T47" s="343"/>
      <c r="U47" s="335"/>
      <c r="V47" s="339"/>
      <c r="W47" s="361"/>
      <c r="X47" s="352"/>
      <c r="Y47" s="339"/>
      <c r="Z47" s="339"/>
      <c r="AA47" s="285"/>
      <c r="AB47" s="285"/>
      <c r="AC47" s="285"/>
      <c r="AD47" s="314"/>
      <c r="AE47" s="276"/>
      <c r="AF47" s="276"/>
      <c r="AG47" s="274"/>
      <c r="AH47" s="246"/>
      <c r="AI47" s="246"/>
      <c r="AJ47" s="246"/>
      <c r="AK47" s="248"/>
      <c r="AL47" s="248"/>
      <c r="AM47" s="248"/>
      <c r="AN47" s="248"/>
      <c r="AO47" s="239"/>
      <c r="AP47" s="229"/>
      <c r="AQ47" s="226"/>
      <c r="AR47" s="209"/>
      <c r="AS47" s="199"/>
      <c r="AT47" s="199"/>
      <c r="AU47" s="75"/>
    </row>
    <row r="48" spans="1:47" ht="26.25" customHeight="1" x14ac:dyDescent="0.45">
      <c r="A48" s="7"/>
      <c r="B48" s="440"/>
      <c r="C48" s="155"/>
      <c r="D48" s="425"/>
      <c r="E48" s="347"/>
      <c r="F48" s="347"/>
      <c r="G48" s="347"/>
      <c r="H48" s="404"/>
      <c r="I48" s="214"/>
      <c r="J48" s="347"/>
      <c r="K48" s="347"/>
      <c r="L48" s="243"/>
      <c r="M48" s="212"/>
      <c r="N48" s="355"/>
      <c r="O48" s="355"/>
      <c r="P48" s="355"/>
      <c r="Q48" s="384"/>
      <c r="R48" s="215"/>
      <c r="S48" s="343"/>
      <c r="T48" s="343"/>
      <c r="U48" s="335"/>
      <c r="V48" s="339"/>
      <c r="W48" s="362"/>
      <c r="X48" s="353"/>
      <c r="Y48" s="339"/>
      <c r="Z48" s="339"/>
      <c r="AA48" s="286"/>
      <c r="AB48" s="286"/>
      <c r="AC48" s="286"/>
      <c r="AD48" s="315"/>
      <c r="AE48" s="276"/>
      <c r="AF48" s="276"/>
      <c r="AG48" s="275"/>
      <c r="AH48" s="244"/>
      <c r="AI48" s="244"/>
      <c r="AJ48" s="244"/>
      <c r="AK48" s="249"/>
      <c r="AL48" s="249"/>
      <c r="AM48" s="249"/>
      <c r="AN48" s="249"/>
      <c r="AO48" s="240"/>
      <c r="AP48" s="229"/>
      <c r="AQ48" s="227"/>
      <c r="AR48" s="210"/>
      <c r="AS48" s="200"/>
      <c r="AT48" s="200"/>
      <c r="AU48" s="75"/>
    </row>
    <row r="49" spans="1:47" ht="26.25" customHeight="1" x14ac:dyDescent="0.45">
      <c r="A49" s="7"/>
      <c r="B49" s="440"/>
      <c r="C49" s="155" t="s">
        <v>78</v>
      </c>
      <c r="D49" s="425" t="s">
        <v>79</v>
      </c>
      <c r="E49" s="345">
        <v>2</v>
      </c>
      <c r="F49" s="345">
        <v>2</v>
      </c>
      <c r="G49" s="345">
        <v>2</v>
      </c>
      <c r="H49" s="402">
        <f t="shared" ref="H49" si="27">SUM(E49:G51)</f>
        <v>6</v>
      </c>
      <c r="I49" s="213">
        <v>6</v>
      </c>
      <c r="J49" s="345">
        <v>2</v>
      </c>
      <c r="K49" s="345">
        <v>2</v>
      </c>
      <c r="L49" s="241">
        <f>SUM(J49:K51)</f>
        <v>4</v>
      </c>
      <c r="M49" s="212">
        <v>4</v>
      </c>
      <c r="N49" s="372">
        <v>5</v>
      </c>
      <c r="O49" s="372">
        <v>5</v>
      </c>
      <c r="P49" s="372">
        <v>5</v>
      </c>
      <c r="Q49" s="384">
        <f>SUM(N49:P51)</f>
        <v>15</v>
      </c>
      <c r="R49" s="213">
        <v>15</v>
      </c>
      <c r="S49" s="343">
        <v>0</v>
      </c>
      <c r="T49" s="343">
        <v>0</v>
      </c>
      <c r="U49" s="335">
        <v>0</v>
      </c>
      <c r="V49" s="339"/>
      <c r="W49" s="360">
        <v>0</v>
      </c>
      <c r="X49" s="351"/>
      <c r="Y49" s="339"/>
      <c r="Z49" s="339"/>
      <c r="AA49" s="284" t="e">
        <f>S49/W49</f>
        <v>#DIV/0!</v>
      </c>
      <c r="AB49" s="284" t="e">
        <f>T49/W49</f>
        <v>#DIV/0!</v>
      </c>
      <c r="AC49" s="284" t="e">
        <f>U49/W49</f>
        <v>#DIV/0!</v>
      </c>
      <c r="AD49" s="313"/>
      <c r="AE49" s="306"/>
      <c r="AF49" s="276"/>
      <c r="AG49" s="273"/>
      <c r="AH49" s="265" t="e">
        <f t="shared" ref="AH49:AJ49" si="28">IF(AND(AA49&gt;=10%,AA49&lt;=19%),"1",IF(AND(AA49&gt;=20%,AA49&lt;=29%),"2",IF(AND(AA49&gt;=30%,AA49&lt;=39%),"3",IF(AND(AA49&gt;=40%,AA49&lt;=49%),"4",IF(AND(AA49&gt;=50%,AA49&lt;=59%),"5",IF(AND(AA49&gt;=60%,AA49&lt;=69%),"6",IF(AND(AA49&gt;=70%,AA49&lt;=79%),"7",IF(AND(AA49&gt;=80%,AA49&lt;=89%),"8",IF(AND(AA49&gt;=90%,AA49&lt;=99%),"9",IF(AND(AA49&gt;=100%,AA49&lt;=105%),"10",IF(AND(AA49&gt;=106%),"0","0")))))))))))</f>
        <v>#DIV/0!</v>
      </c>
      <c r="AI49" s="265" t="e">
        <f t="shared" si="28"/>
        <v>#DIV/0!</v>
      </c>
      <c r="AJ49" s="265" t="e">
        <f t="shared" si="28"/>
        <v>#DIV/0!</v>
      </c>
      <c r="AK49" s="247"/>
      <c r="AL49" s="247"/>
      <c r="AM49" s="247"/>
      <c r="AN49" s="247"/>
      <c r="AO49" s="238">
        <v>30</v>
      </c>
      <c r="AP49" s="229">
        <v>30</v>
      </c>
      <c r="AQ49" s="225">
        <f>SUM(H49,L49,Q49,AO49)</f>
        <v>55</v>
      </c>
      <c r="AR49" s="208">
        <f t="shared" si="26"/>
        <v>55</v>
      </c>
      <c r="AS49" s="198"/>
      <c r="AT49" s="198"/>
      <c r="AU49" s="75"/>
    </row>
    <row r="50" spans="1:47" ht="26.25" customHeight="1" x14ac:dyDescent="0.45">
      <c r="A50" s="7"/>
      <c r="B50" s="440"/>
      <c r="C50" s="155"/>
      <c r="D50" s="425"/>
      <c r="E50" s="346"/>
      <c r="F50" s="346"/>
      <c r="G50" s="346"/>
      <c r="H50" s="403"/>
      <c r="I50" s="214"/>
      <c r="J50" s="346"/>
      <c r="K50" s="346"/>
      <c r="L50" s="242"/>
      <c r="M50" s="212"/>
      <c r="N50" s="373"/>
      <c r="O50" s="373"/>
      <c r="P50" s="373"/>
      <c r="Q50" s="384"/>
      <c r="R50" s="214"/>
      <c r="S50" s="343"/>
      <c r="T50" s="343"/>
      <c r="U50" s="335"/>
      <c r="V50" s="339"/>
      <c r="W50" s="361"/>
      <c r="X50" s="352"/>
      <c r="Y50" s="339"/>
      <c r="Z50" s="339"/>
      <c r="AA50" s="285"/>
      <c r="AB50" s="285"/>
      <c r="AC50" s="285"/>
      <c r="AD50" s="314"/>
      <c r="AE50" s="306"/>
      <c r="AF50" s="276"/>
      <c r="AG50" s="274"/>
      <c r="AH50" s="246"/>
      <c r="AI50" s="246"/>
      <c r="AJ50" s="246"/>
      <c r="AK50" s="248"/>
      <c r="AL50" s="248"/>
      <c r="AM50" s="248"/>
      <c r="AN50" s="248"/>
      <c r="AO50" s="239"/>
      <c r="AP50" s="229"/>
      <c r="AQ50" s="226"/>
      <c r="AR50" s="209"/>
      <c r="AS50" s="199"/>
      <c r="AT50" s="199"/>
      <c r="AU50" s="75"/>
    </row>
    <row r="51" spans="1:47" ht="26.25" customHeight="1" thickBot="1" x14ac:dyDescent="0.5">
      <c r="A51" s="7"/>
      <c r="B51" s="440"/>
      <c r="C51" s="155"/>
      <c r="D51" s="425"/>
      <c r="E51" s="347"/>
      <c r="F51" s="347"/>
      <c r="G51" s="347"/>
      <c r="H51" s="404"/>
      <c r="I51" s="214"/>
      <c r="J51" s="347"/>
      <c r="K51" s="347"/>
      <c r="L51" s="243"/>
      <c r="M51" s="212"/>
      <c r="N51" s="355"/>
      <c r="O51" s="355"/>
      <c r="P51" s="355"/>
      <c r="Q51" s="384"/>
      <c r="R51" s="215"/>
      <c r="S51" s="343"/>
      <c r="T51" s="343"/>
      <c r="U51" s="335"/>
      <c r="V51" s="339"/>
      <c r="W51" s="362"/>
      <c r="X51" s="353"/>
      <c r="Y51" s="339"/>
      <c r="Z51" s="339"/>
      <c r="AA51" s="286"/>
      <c r="AB51" s="286"/>
      <c r="AC51" s="286"/>
      <c r="AD51" s="315"/>
      <c r="AE51" s="306"/>
      <c r="AF51" s="276"/>
      <c r="AG51" s="275"/>
      <c r="AH51" s="244"/>
      <c r="AI51" s="244"/>
      <c r="AJ51" s="244"/>
      <c r="AK51" s="249"/>
      <c r="AL51" s="249"/>
      <c r="AM51" s="249"/>
      <c r="AN51" s="249"/>
      <c r="AO51" s="240"/>
      <c r="AP51" s="229"/>
      <c r="AQ51" s="227"/>
      <c r="AR51" s="210"/>
      <c r="AS51" s="200"/>
      <c r="AT51" s="200"/>
      <c r="AU51" s="75"/>
    </row>
    <row r="52" spans="1:47" ht="26.25" customHeight="1" thickBot="1" x14ac:dyDescent="0.5">
      <c r="A52" s="7"/>
      <c r="B52" s="440"/>
      <c r="C52" s="345" t="s">
        <v>80</v>
      </c>
      <c r="D52" s="422" t="s">
        <v>81</v>
      </c>
      <c r="E52" s="155">
        <v>2</v>
      </c>
      <c r="F52" s="155">
        <v>2</v>
      </c>
      <c r="G52" s="155">
        <v>2</v>
      </c>
      <c r="H52" s="402">
        <f t="shared" ref="H52" si="29">SUM(E52:G54)</f>
        <v>6</v>
      </c>
      <c r="I52" s="213">
        <v>6</v>
      </c>
      <c r="J52" s="345">
        <v>2</v>
      </c>
      <c r="K52" s="345">
        <v>2</v>
      </c>
      <c r="L52" s="241">
        <f>SUM(J52:K54)</f>
        <v>4</v>
      </c>
      <c r="M52" s="212">
        <v>4</v>
      </c>
      <c r="N52" s="373">
        <v>5</v>
      </c>
      <c r="O52" s="373">
        <v>5</v>
      </c>
      <c r="P52" s="373">
        <v>5</v>
      </c>
      <c r="Q52" s="384">
        <f>SUM(N52:P54)</f>
        <v>15</v>
      </c>
      <c r="R52" s="212">
        <v>15</v>
      </c>
      <c r="S52" s="343">
        <v>5</v>
      </c>
      <c r="T52" s="343">
        <v>5</v>
      </c>
      <c r="U52" s="343">
        <v>5</v>
      </c>
      <c r="V52" s="343">
        <v>5</v>
      </c>
      <c r="W52" s="343">
        <v>5</v>
      </c>
      <c r="X52" s="351"/>
      <c r="Y52" s="343">
        <v>5</v>
      </c>
      <c r="Z52" s="339"/>
      <c r="AA52" s="284">
        <f>S52/W52</f>
        <v>1</v>
      </c>
      <c r="AB52" s="284">
        <f>T52/W52</f>
        <v>1</v>
      </c>
      <c r="AC52" s="284">
        <f>U52/W52</f>
        <v>1</v>
      </c>
      <c r="AD52" s="284">
        <f>V52/W52</f>
        <v>1</v>
      </c>
      <c r="AE52" s="298"/>
      <c r="AF52" s="277">
        <f>Y52/W52</f>
        <v>1</v>
      </c>
      <c r="AG52" s="273"/>
      <c r="AH52" s="265" t="str">
        <f t="shared" ref="AH52:AM52" si="30">IF(AND(AA52&gt;=10%,AA52&lt;=19%),"1",IF(AND(AA52&gt;=20%,AA52&lt;=29%),"2",IF(AND(AA52&gt;=30%,AA52&lt;=39%),"3",IF(AND(AA52&gt;=40%,AA52&lt;=49%),"4",IF(AND(AA52&gt;=50%,AA52&lt;=59%),"5",IF(AND(AA52&gt;=60%,AA52&lt;=69%),"6",IF(AND(AA52&gt;=70%,AA52&lt;=79%),"7",IF(AND(AA52&gt;=80%,AA52&lt;=89%),"8",IF(AND(AA52&gt;=90%,AA52&lt;=99%),"9",IF(AND(AA52&gt;=100%,AA52&lt;=105%),"10",IF(AND(AA52&gt;=106%),"0","0")))))))))))</f>
        <v>10</v>
      </c>
      <c r="AI52" s="265" t="str">
        <f t="shared" si="30"/>
        <v>10</v>
      </c>
      <c r="AJ52" s="265" t="str">
        <f t="shared" si="30"/>
        <v>10</v>
      </c>
      <c r="AK52" s="265" t="str">
        <f t="shared" si="30"/>
        <v>10</v>
      </c>
      <c r="AL52" s="247"/>
      <c r="AM52" s="265" t="str">
        <f t="shared" si="30"/>
        <v>10</v>
      </c>
      <c r="AN52" s="247"/>
      <c r="AO52" s="238">
        <f>AH52+AI52+AJ52+AK52+AL52+AM52</f>
        <v>50</v>
      </c>
      <c r="AP52" s="229">
        <v>50</v>
      </c>
      <c r="AQ52" s="225">
        <f>SUM(H52,L52,Q52,AO52)</f>
        <v>75</v>
      </c>
      <c r="AR52" s="208">
        <f t="shared" si="26"/>
        <v>75</v>
      </c>
      <c r="AS52" s="198"/>
      <c r="AT52" s="198"/>
      <c r="AU52" s="75"/>
    </row>
    <row r="53" spans="1:47" ht="26.25" customHeight="1" thickBot="1" x14ac:dyDescent="0.5">
      <c r="A53" s="7"/>
      <c r="B53" s="440"/>
      <c r="C53" s="346"/>
      <c r="D53" s="423"/>
      <c r="E53" s="155"/>
      <c r="F53" s="155"/>
      <c r="G53" s="155"/>
      <c r="H53" s="403"/>
      <c r="I53" s="214"/>
      <c r="J53" s="346"/>
      <c r="K53" s="346"/>
      <c r="L53" s="242"/>
      <c r="M53" s="212"/>
      <c r="N53" s="373"/>
      <c r="O53" s="373"/>
      <c r="P53" s="373"/>
      <c r="Q53" s="384"/>
      <c r="R53" s="212"/>
      <c r="S53" s="343"/>
      <c r="T53" s="343"/>
      <c r="U53" s="343"/>
      <c r="V53" s="343"/>
      <c r="W53" s="343"/>
      <c r="X53" s="352"/>
      <c r="Y53" s="343"/>
      <c r="Z53" s="339"/>
      <c r="AA53" s="285"/>
      <c r="AB53" s="285"/>
      <c r="AC53" s="285"/>
      <c r="AD53" s="285"/>
      <c r="AE53" s="299"/>
      <c r="AF53" s="277"/>
      <c r="AG53" s="274"/>
      <c r="AH53" s="246"/>
      <c r="AI53" s="246"/>
      <c r="AJ53" s="246"/>
      <c r="AK53" s="246"/>
      <c r="AL53" s="248"/>
      <c r="AM53" s="246"/>
      <c r="AN53" s="248"/>
      <c r="AO53" s="239"/>
      <c r="AP53" s="229"/>
      <c r="AQ53" s="226"/>
      <c r="AR53" s="209"/>
      <c r="AS53" s="199"/>
      <c r="AT53" s="199"/>
      <c r="AU53" s="75"/>
    </row>
    <row r="54" spans="1:47" ht="26.25" customHeight="1" thickBot="1" x14ac:dyDescent="0.5">
      <c r="A54" s="7"/>
      <c r="B54" s="440"/>
      <c r="C54" s="347"/>
      <c r="D54" s="424"/>
      <c r="E54" s="345"/>
      <c r="F54" s="345"/>
      <c r="G54" s="345"/>
      <c r="H54" s="403"/>
      <c r="I54" s="215"/>
      <c r="J54" s="347"/>
      <c r="K54" s="347"/>
      <c r="L54" s="243"/>
      <c r="M54" s="212"/>
      <c r="N54" s="373"/>
      <c r="O54" s="355"/>
      <c r="P54" s="355"/>
      <c r="Q54" s="384"/>
      <c r="R54" s="212"/>
      <c r="S54" s="354"/>
      <c r="T54" s="354"/>
      <c r="U54" s="354"/>
      <c r="V54" s="354"/>
      <c r="W54" s="354"/>
      <c r="X54" s="352"/>
      <c r="Y54" s="354"/>
      <c r="Z54" s="339"/>
      <c r="AA54" s="286"/>
      <c r="AB54" s="286"/>
      <c r="AC54" s="286"/>
      <c r="AD54" s="286"/>
      <c r="AE54" s="300"/>
      <c r="AF54" s="277"/>
      <c r="AG54" s="275"/>
      <c r="AH54" s="244"/>
      <c r="AI54" s="244"/>
      <c r="AJ54" s="244"/>
      <c r="AK54" s="244"/>
      <c r="AL54" s="249"/>
      <c r="AM54" s="244"/>
      <c r="AN54" s="249"/>
      <c r="AO54" s="240"/>
      <c r="AP54" s="229"/>
      <c r="AQ54" s="227"/>
      <c r="AR54" s="210"/>
      <c r="AS54" s="200"/>
      <c r="AT54" s="200"/>
      <c r="AU54" s="75"/>
    </row>
    <row r="55" spans="1:47" ht="26.25" customHeight="1" thickBot="1" x14ac:dyDescent="0.5">
      <c r="A55" s="7"/>
      <c r="B55" s="440"/>
      <c r="C55" s="345" t="s">
        <v>82</v>
      </c>
      <c r="D55" s="426" t="s">
        <v>83</v>
      </c>
      <c r="E55" s="408">
        <v>2</v>
      </c>
      <c r="F55" s="408">
        <v>2</v>
      </c>
      <c r="G55" s="408">
        <v>2</v>
      </c>
      <c r="H55" s="405">
        <f>SUM(E55:G57)</f>
        <v>6</v>
      </c>
      <c r="I55" s="395">
        <v>6</v>
      </c>
      <c r="J55" s="345">
        <v>2</v>
      </c>
      <c r="K55" s="345">
        <v>2</v>
      </c>
      <c r="L55" s="241">
        <f>SUM(J55:K57)</f>
        <v>4</v>
      </c>
      <c r="M55" s="213">
        <v>4</v>
      </c>
      <c r="N55" s="372">
        <v>5</v>
      </c>
      <c r="O55" s="372">
        <v>5</v>
      </c>
      <c r="P55" s="372">
        <v>5</v>
      </c>
      <c r="Q55" s="241">
        <f>SUM(N55:P57)</f>
        <v>15</v>
      </c>
      <c r="R55" s="377">
        <v>15</v>
      </c>
      <c r="S55" s="335">
        <v>0</v>
      </c>
      <c r="T55" s="343">
        <v>0</v>
      </c>
      <c r="U55" s="343">
        <v>0</v>
      </c>
      <c r="V55" s="343">
        <v>0</v>
      </c>
      <c r="W55" s="343">
        <v>0</v>
      </c>
      <c r="X55" s="351"/>
      <c r="Y55" s="343">
        <v>0</v>
      </c>
      <c r="Z55" s="336"/>
      <c r="AA55" s="284" t="e">
        <f>S55/W55</f>
        <v>#DIV/0!</v>
      </c>
      <c r="AB55" s="284" t="e">
        <f>T55/W55</f>
        <v>#DIV/0!</v>
      </c>
      <c r="AC55" s="284" t="e">
        <f>U55/W55</f>
        <v>#DIV/0!</v>
      </c>
      <c r="AD55" s="284" t="e">
        <f>V55/W55</f>
        <v>#DIV/0!</v>
      </c>
      <c r="AE55" s="298"/>
      <c r="AF55" s="277" t="e">
        <f>Y55/W55</f>
        <v>#DIV/0!</v>
      </c>
      <c r="AG55" s="273"/>
      <c r="AH55" s="265" t="e">
        <f t="shared" ref="AH55:AM55" si="31">IF(AND(AA55&gt;=10%,AA55&lt;=19%),"1",IF(AND(AA55&gt;=20%,AA55&lt;=29%),"2",IF(AND(AA55&gt;=30%,AA55&lt;=39%),"3",IF(AND(AA55&gt;=40%,AA55&lt;=49%),"4",IF(AND(AA55&gt;=50%,AA55&lt;=59%),"5",IF(AND(AA55&gt;=60%,AA55&lt;=69%),"6",IF(AND(AA55&gt;=70%,AA55&lt;=79%),"7",IF(AND(AA55&gt;=80%,AA55&lt;=89%),"8",IF(AND(AA55&gt;=90%,AA55&lt;=99%),"9",IF(AND(AA55&gt;=100%,AA55&lt;=105%),"10",IF(AND(AA55&gt;=106%),"0","0")))))))))))</f>
        <v>#DIV/0!</v>
      </c>
      <c r="AI55" s="265" t="e">
        <f t="shared" si="31"/>
        <v>#DIV/0!</v>
      </c>
      <c r="AJ55" s="265" t="e">
        <f t="shared" si="31"/>
        <v>#DIV/0!</v>
      </c>
      <c r="AK55" s="265" t="e">
        <f t="shared" si="31"/>
        <v>#DIV/0!</v>
      </c>
      <c r="AL55" s="247"/>
      <c r="AM55" s="265" t="e">
        <f t="shared" si="31"/>
        <v>#DIV/0!</v>
      </c>
      <c r="AN55" s="247"/>
      <c r="AO55" s="238">
        <v>50</v>
      </c>
      <c r="AP55" s="230">
        <v>50</v>
      </c>
      <c r="AQ55" s="225">
        <f>SUM(H55,L55,Q55,AO55)</f>
        <v>75</v>
      </c>
      <c r="AR55" s="208">
        <f t="shared" si="26"/>
        <v>75</v>
      </c>
      <c r="AS55" s="198"/>
      <c r="AT55" s="198"/>
      <c r="AU55" s="75"/>
    </row>
    <row r="56" spans="1:47" ht="26.25" customHeight="1" thickBot="1" x14ac:dyDescent="0.5">
      <c r="A56" s="7"/>
      <c r="B56" s="440"/>
      <c r="C56" s="346"/>
      <c r="D56" s="427"/>
      <c r="E56" s="408"/>
      <c r="F56" s="408"/>
      <c r="G56" s="408"/>
      <c r="H56" s="405"/>
      <c r="I56" s="396"/>
      <c r="J56" s="346"/>
      <c r="K56" s="346"/>
      <c r="L56" s="242"/>
      <c r="M56" s="214"/>
      <c r="N56" s="373"/>
      <c r="O56" s="373"/>
      <c r="P56" s="373"/>
      <c r="Q56" s="242"/>
      <c r="R56" s="378"/>
      <c r="S56" s="335"/>
      <c r="T56" s="343"/>
      <c r="U56" s="343"/>
      <c r="V56" s="343"/>
      <c r="W56" s="343"/>
      <c r="X56" s="352"/>
      <c r="Y56" s="343"/>
      <c r="Z56" s="337"/>
      <c r="AA56" s="285"/>
      <c r="AB56" s="285"/>
      <c r="AC56" s="285"/>
      <c r="AD56" s="285"/>
      <c r="AE56" s="299"/>
      <c r="AF56" s="277"/>
      <c r="AG56" s="274"/>
      <c r="AH56" s="246"/>
      <c r="AI56" s="246"/>
      <c r="AJ56" s="246"/>
      <c r="AK56" s="246"/>
      <c r="AL56" s="248"/>
      <c r="AM56" s="246"/>
      <c r="AN56" s="248"/>
      <c r="AO56" s="239"/>
      <c r="AP56" s="231"/>
      <c r="AQ56" s="226"/>
      <c r="AR56" s="209"/>
      <c r="AS56" s="199"/>
      <c r="AT56" s="199"/>
      <c r="AU56" s="75"/>
    </row>
    <row r="57" spans="1:47" ht="26.25" customHeight="1" thickBot="1" x14ac:dyDescent="0.5">
      <c r="A57" s="7"/>
      <c r="B57" s="440"/>
      <c r="C57" s="347"/>
      <c r="D57" s="428"/>
      <c r="E57" s="408"/>
      <c r="F57" s="408"/>
      <c r="G57" s="408"/>
      <c r="H57" s="405"/>
      <c r="I57" s="396"/>
      <c r="J57" s="346"/>
      <c r="K57" s="346"/>
      <c r="L57" s="242"/>
      <c r="M57" s="214"/>
      <c r="N57" s="373"/>
      <c r="O57" s="373"/>
      <c r="P57" s="373"/>
      <c r="Q57" s="242"/>
      <c r="R57" s="378"/>
      <c r="S57" s="335"/>
      <c r="T57" s="343"/>
      <c r="U57" s="343"/>
      <c r="V57" s="343"/>
      <c r="W57" s="343"/>
      <c r="X57" s="353"/>
      <c r="Y57" s="343"/>
      <c r="Z57" s="338"/>
      <c r="AA57" s="286"/>
      <c r="AB57" s="286"/>
      <c r="AC57" s="286"/>
      <c r="AD57" s="286"/>
      <c r="AE57" s="300"/>
      <c r="AF57" s="277"/>
      <c r="AG57" s="275"/>
      <c r="AH57" s="246"/>
      <c r="AI57" s="246"/>
      <c r="AJ57" s="246"/>
      <c r="AK57" s="246"/>
      <c r="AL57" s="249"/>
      <c r="AM57" s="246"/>
      <c r="AN57" s="249"/>
      <c r="AO57" s="239"/>
      <c r="AP57" s="231"/>
      <c r="AQ57" s="226"/>
      <c r="AR57" s="210"/>
      <c r="AS57" s="200"/>
      <c r="AT57" s="200"/>
      <c r="AU57" s="75"/>
    </row>
    <row r="58" spans="1:47" ht="26.25" customHeight="1" thickBot="1" x14ac:dyDescent="0.5">
      <c r="A58" s="7"/>
      <c r="B58" s="440"/>
      <c r="C58" s="155" t="s">
        <v>84</v>
      </c>
      <c r="D58" s="426" t="s">
        <v>85</v>
      </c>
      <c r="E58" s="408">
        <v>2</v>
      </c>
      <c r="F58" s="408">
        <v>2</v>
      </c>
      <c r="G58" s="408">
        <v>2</v>
      </c>
      <c r="H58" s="405">
        <f>SUM(E58:G60)</f>
        <v>6</v>
      </c>
      <c r="I58" s="397">
        <v>6</v>
      </c>
      <c r="J58" s="394">
        <v>2</v>
      </c>
      <c r="K58" s="347">
        <v>2</v>
      </c>
      <c r="L58" s="242">
        <f>SUM(J58:K60)</f>
        <v>4</v>
      </c>
      <c r="M58" s="215">
        <v>4</v>
      </c>
      <c r="N58" s="373">
        <v>5</v>
      </c>
      <c r="O58" s="373">
        <v>5</v>
      </c>
      <c r="P58" s="373">
        <v>5</v>
      </c>
      <c r="Q58" s="385">
        <f>SUM(N58:P60)</f>
        <v>15</v>
      </c>
      <c r="R58" s="379">
        <v>15</v>
      </c>
      <c r="S58" s="355">
        <v>4</v>
      </c>
      <c r="T58" s="355">
        <v>4</v>
      </c>
      <c r="U58" s="355">
        <v>4</v>
      </c>
      <c r="V58" s="355">
        <v>4</v>
      </c>
      <c r="W58" s="355">
        <v>4</v>
      </c>
      <c r="X58" s="355">
        <v>4</v>
      </c>
      <c r="Y58" s="355">
        <v>4</v>
      </c>
      <c r="Z58" s="344"/>
      <c r="AA58" s="284">
        <f t="shared" ref="AA58" si="32">S58/W58</f>
        <v>1</v>
      </c>
      <c r="AB58" s="284">
        <f t="shared" ref="AB58" si="33">T58/W58</f>
        <v>1</v>
      </c>
      <c r="AC58" s="284">
        <f t="shared" ref="AC58" si="34">U58/W58</f>
        <v>1</v>
      </c>
      <c r="AD58" s="284">
        <f t="shared" ref="AD58" si="35">V58/W58</f>
        <v>1</v>
      </c>
      <c r="AE58" s="284">
        <f>X58/W58</f>
        <v>1</v>
      </c>
      <c r="AF58" s="277">
        <f>Y58/W58</f>
        <v>1</v>
      </c>
      <c r="AG58" s="273"/>
      <c r="AH58" s="265" t="str">
        <f t="shared" ref="AH58:AM58" si="36">IF(AND(AA58&gt;=10%,AA58&lt;=19%),"1",IF(AND(AA58&gt;=20%,AA58&lt;=29%),"2",IF(AND(AA58&gt;=30%,AA58&lt;=39%),"3",IF(AND(AA58&gt;=40%,AA58&lt;=49%),"4",IF(AND(AA58&gt;=50%,AA58&lt;=59%),"5",IF(AND(AA58&gt;=60%,AA58&lt;=69%),"6",IF(AND(AA58&gt;=70%,AA58&lt;=79%),"7",IF(AND(AA58&gt;=80%,AA58&lt;=89%),"8",IF(AND(AA58&gt;=90%,AA58&lt;=99%),"9",IF(AND(AA58&gt;=100%,AA58&lt;=105%),"10",IF(AND(AA58&gt;=106%),"0","0")))))))))))</f>
        <v>10</v>
      </c>
      <c r="AI58" s="265" t="str">
        <f t="shared" si="36"/>
        <v>10</v>
      </c>
      <c r="AJ58" s="265" t="str">
        <f t="shared" si="36"/>
        <v>10</v>
      </c>
      <c r="AK58" s="265" t="str">
        <f t="shared" si="36"/>
        <v>10</v>
      </c>
      <c r="AL58" s="265" t="str">
        <f t="shared" si="36"/>
        <v>10</v>
      </c>
      <c r="AM58" s="265" t="str">
        <f t="shared" si="36"/>
        <v>10</v>
      </c>
      <c r="AN58" s="247"/>
      <c r="AO58" s="238">
        <f>AH58+AI58+AJ58+AK58+AL58+AM58</f>
        <v>60</v>
      </c>
      <c r="AP58" s="229">
        <v>60</v>
      </c>
      <c r="AQ58" s="225">
        <f t="shared" ref="AQ58" si="37">SUM(AO58,Q58,L58,H58)</f>
        <v>85</v>
      </c>
      <c r="AR58" s="208">
        <f t="shared" si="26"/>
        <v>85</v>
      </c>
      <c r="AS58" s="197"/>
      <c r="AT58" s="197"/>
      <c r="AU58" s="75"/>
    </row>
    <row r="59" spans="1:47" ht="26.25" customHeight="1" x14ac:dyDescent="0.45">
      <c r="A59" s="7"/>
      <c r="B59" s="440"/>
      <c r="C59" s="155"/>
      <c r="D59" s="427"/>
      <c r="E59" s="408"/>
      <c r="F59" s="408"/>
      <c r="G59" s="408"/>
      <c r="H59" s="405"/>
      <c r="I59" s="398"/>
      <c r="J59" s="195"/>
      <c r="K59" s="155"/>
      <c r="L59" s="242"/>
      <c r="M59" s="212"/>
      <c r="N59" s="373"/>
      <c r="O59" s="373"/>
      <c r="P59" s="373"/>
      <c r="Q59" s="384"/>
      <c r="R59" s="380"/>
      <c r="S59" s="335"/>
      <c r="T59" s="335"/>
      <c r="U59" s="335"/>
      <c r="V59" s="335"/>
      <c r="W59" s="335"/>
      <c r="X59" s="335"/>
      <c r="Y59" s="335"/>
      <c r="Z59" s="344"/>
      <c r="AA59" s="285"/>
      <c r="AB59" s="285"/>
      <c r="AC59" s="285"/>
      <c r="AD59" s="285"/>
      <c r="AE59" s="285"/>
      <c r="AF59" s="277"/>
      <c r="AG59" s="274"/>
      <c r="AH59" s="246"/>
      <c r="AI59" s="246"/>
      <c r="AJ59" s="246"/>
      <c r="AK59" s="246"/>
      <c r="AL59" s="246"/>
      <c r="AM59" s="246"/>
      <c r="AN59" s="248"/>
      <c r="AO59" s="239"/>
      <c r="AP59" s="229"/>
      <c r="AQ59" s="226"/>
      <c r="AR59" s="209"/>
      <c r="AS59" s="197"/>
      <c r="AT59" s="197"/>
      <c r="AU59" s="75"/>
    </row>
    <row r="60" spans="1:47" ht="26.25" customHeight="1" x14ac:dyDescent="0.45">
      <c r="A60" s="7"/>
      <c r="B60" s="440"/>
      <c r="C60" s="155"/>
      <c r="D60" s="428"/>
      <c r="E60" s="408"/>
      <c r="F60" s="408"/>
      <c r="G60" s="408"/>
      <c r="H60" s="405"/>
      <c r="I60" s="395"/>
      <c r="J60" s="195"/>
      <c r="K60" s="155"/>
      <c r="L60" s="243"/>
      <c r="M60" s="213"/>
      <c r="N60" s="355"/>
      <c r="O60" s="355"/>
      <c r="P60" s="355"/>
      <c r="Q60" s="384"/>
      <c r="R60" s="380"/>
      <c r="S60" s="335"/>
      <c r="T60" s="335"/>
      <c r="U60" s="335"/>
      <c r="V60" s="335"/>
      <c r="W60" s="335"/>
      <c r="X60" s="335"/>
      <c r="Y60" s="335"/>
      <c r="Z60" s="344"/>
      <c r="AA60" s="286"/>
      <c r="AB60" s="286"/>
      <c r="AC60" s="286"/>
      <c r="AD60" s="286"/>
      <c r="AE60" s="286"/>
      <c r="AF60" s="277"/>
      <c r="AG60" s="275"/>
      <c r="AH60" s="244"/>
      <c r="AI60" s="244"/>
      <c r="AJ60" s="244"/>
      <c r="AK60" s="244"/>
      <c r="AL60" s="244"/>
      <c r="AM60" s="244"/>
      <c r="AN60" s="249"/>
      <c r="AO60" s="240"/>
      <c r="AP60" s="229"/>
      <c r="AQ60" s="227"/>
      <c r="AR60" s="211"/>
      <c r="AS60" s="197"/>
      <c r="AT60" s="197"/>
      <c r="AU60" s="75"/>
    </row>
    <row r="61" spans="1:47" s="2" customFormat="1" ht="53.65" customHeight="1" x14ac:dyDescent="0.45">
      <c r="A61" s="19"/>
      <c r="B61" s="440"/>
      <c r="C61" s="20"/>
      <c r="D61" s="21"/>
      <c r="E61" s="22"/>
      <c r="F61" s="23"/>
      <c r="G61" s="24"/>
      <c r="H61" s="25">
        <f>SUM(H11:H60)</f>
        <v>120</v>
      </c>
      <c r="I61" s="35">
        <f>SUM(I11:I58)</f>
        <v>120</v>
      </c>
      <c r="J61" s="36"/>
      <c r="K61" s="37"/>
      <c r="L61" s="35">
        <f>SUM(L11:L58)</f>
        <v>80</v>
      </c>
      <c r="M61" s="35">
        <f>SUM(M11:M58)</f>
        <v>80</v>
      </c>
      <c r="N61" s="38" t="s">
        <v>86</v>
      </c>
      <c r="O61" s="39" t="s">
        <v>87</v>
      </c>
      <c r="P61" s="40" t="s">
        <v>88</v>
      </c>
      <c r="Q61" s="35">
        <f>SUM(Q11:Q58)</f>
        <v>300</v>
      </c>
      <c r="R61" s="35">
        <f>SUM(R11:R58)</f>
        <v>300</v>
      </c>
      <c r="S61" s="45"/>
      <c r="T61" s="46"/>
      <c r="U61" s="46"/>
      <c r="V61" s="46"/>
      <c r="W61" s="46"/>
      <c r="X61" s="46"/>
      <c r="Y61" s="46"/>
      <c r="Z61" s="59"/>
      <c r="AA61" s="60"/>
      <c r="AB61" s="60"/>
      <c r="AC61" s="60"/>
      <c r="AD61" s="60"/>
      <c r="AE61" s="60"/>
      <c r="AF61" s="60"/>
      <c r="AG61" s="60"/>
      <c r="AH61" s="70"/>
      <c r="AI61" s="70"/>
      <c r="AJ61" s="70"/>
      <c r="AK61" s="70"/>
      <c r="AL61" s="70"/>
      <c r="AM61" s="70"/>
      <c r="AN61" s="71"/>
      <c r="AO61" s="35">
        <f>SUM(AO11:AO60)</f>
        <v>706</v>
      </c>
      <c r="AP61" s="84">
        <f>SUM(AP11:AP60)</f>
        <v>800</v>
      </c>
      <c r="AQ61" s="85">
        <f>SUM(AQ11:AQ60)</f>
        <v>1206</v>
      </c>
      <c r="AR61" s="35">
        <f>SUM(AR11:AR60)</f>
        <v>1300</v>
      </c>
      <c r="AS61" s="86"/>
      <c r="AT61" s="87"/>
      <c r="AU61" s="75"/>
    </row>
    <row r="62" spans="1:47" ht="38.25" customHeight="1" x14ac:dyDescent="0.45">
      <c r="A62" s="7"/>
      <c r="B62" s="440"/>
      <c r="C62" s="15" t="s">
        <v>89</v>
      </c>
      <c r="D62" s="12" t="s">
        <v>90</v>
      </c>
      <c r="E62" s="9">
        <v>2</v>
      </c>
      <c r="F62" s="9">
        <v>2</v>
      </c>
      <c r="G62" s="9">
        <v>2</v>
      </c>
      <c r="H62" s="10">
        <f>SUM(E62:G62)</f>
        <v>6</v>
      </c>
      <c r="I62" s="33">
        <v>6</v>
      </c>
      <c r="J62" s="27">
        <v>2</v>
      </c>
      <c r="K62" s="9">
        <v>2</v>
      </c>
      <c r="L62" s="34">
        <f>SUM(J62:K62)</f>
        <v>4</v>
      </c>
      <c r="M62" s="33">
        <v>4</v>
      </c>
      <c r="N62" s="27">
        <v>5</v>
      </c>
      <c r="O62" s="9">
        <v>5</v>
      </c>
      <c r="P62" s="9">
        <v>5</v>
      </c>
      <c r="Q62" s="44">
        <f>SUM(N62:P62)</f>
        <v>15</v>
      </c>
      <c r="R62" s="33">
        <v>15</v>
      </c>
      <c r="S62" s="47">
        <v>721</v>
      </c>
      <c r="T62" s="47">
        <v>721</v>
      </c>
      <c r="U62" s="47">
        <v>721</v>
      </c>
      <c r="V62" s="47">
        <v>721</v>
      </c>
      <c r="W62" s="48">
        <v>721</v>
      </c>
      <c r="X62" s="153">
        <v>722</v>
      </c>
      <c r="Y62" s="57"/>
      <c r="Z62" s="57"/>
      <c r="AA62" s="61">
        <f>S62/W62</f>
        <v>1</v>
      </c>
      <c r="AB62" s="61">
        <f>T62/W62</f>
        <v>1</v>
      </c>
      <c r="AC62" s="61">
        <f>U62/W62</f>
        <v>1</v>
      </c>
      <c r="AD62" s="61">
        <f>V62/W62</f>
        <v>1</v>
      </c>
      <c r="AE62" s="62">
        <f>X62/W62</f>
        <v>1.0013869625520111</v>
      </c>
      <c r="AF62" s="63"/>
      <c r="AG62" s="63"/>
      <c r="AH62" s="72" t="str">
        <f t="shared" ref="AH62:AL63" si="38">IF(AND(AA62&gt;=10%,AA62&lt;=19%),"1",IF(AND(AA62&gt;=20%,AA62&lt;=29%),"2",IF(AND(AA62&gt;=30%,AA62&lt;=39%),"3",IF(AND(AA62&gt;=40%,AA62&lt;=49%),"4",IF(AND(AA62&gt;=50%,AA62&lt;=59%),"5",IF(AND(AA62&gt;=60%,AA62&lt;=69%),"6",IF(AND(AA62&gt;=70%,AA62&lt;=79%),"7",IF(AND(AA62&gt;=80%,AA62&lt;=89%),"8",IF(AND(AA62&gt;=90%,AA62&lt;=99%),"9",IF(AND(AA62&gt;=100%,AA62&lt;=105%),"10",IF(AND(AA62&gt;=106%),"0","0")))))))))))</f>
        <v>10</v>
      </c>
      <c r="AI62" s="72" t="str">
        <f t="shared" si="38"/>
        <v>10</v>
      </c>
      <c r="AJ62" s="72" t="str">
        <f t="shared" si="38"/>
        <v>10</v>
      </c>
      <c r="AK62" s="72" t="str">
        <f t="shared" si="38"/>
        <v>10</v>
      </c>
      <c r="AL62" s="72" t="str">
        <f t="shared" si="38"/>
        <v>10</v>
      </c>
      <c r="AM62" s="73"/>
      <c r="AN62" s="73"/>
      <c r="AO62" s="28">
        <f>AH62+AI62+AJ62+AK62+AL62</f>
        <v>50</v>
      </c>
      <c r="AP62" s="88">
        <v>50</v>
      </c>
      <c r="AQ62" s="89">
        <f>SUM(H62,L62,Q62,AO62)</f>
        <v>75</v>
      </c>
      <c r="AR62" s="33">
        <f>SUM(AP62,R62,M62,I62)</f>
        <v>75</v>
      </c>
      <c r="AS62" s="15"/>
      <c r="AT62" s="15"/>
      <c r="AU62" s="75"/>
    </row>
    <row r="63" spans="1:47" ht="26.25" customHeight="1" x14ac:dyDescent="0.45">
      <c r="A63" s="7"/>
      <c r="B63" s="440"/>
      <c r="C63" s="155" t="s">
        <v>91</v>
      </c>
      <c r="D63" s="425" t="s">
        <v>92</v>
      </c>
      <c r="E63" s="155">
        <v>2</v>
      </c>
      <c r="F63" s="155">
        <v>2</v>
      </c>
      <c r="G63" s="155">
        <v>2</v>
      </c>
      <c r="H63" s="401">
        <f>SUM(E63:G65)</f>
        <v>6</v>
      </c>
      <c r="I63" s="212">
        <v>6</v>
      </c>
      <c r="J63" s="195">
        <v>2</v>
      </c>
      <c r="K63" s="155">
        <v>2</v>
      </c>
      <c r="L63" s="384">
        <f>SUM(J63:K65)</f>
        <v>4</v>
      </c>
      <c r="M63" s="212">
        <v>4</v>
      </c>
      <c r="N63" s="345">
        <v>5</v>
      </c>
      <c r="O63" s="345">
        <v>5</v>
      </c>
      <c r="P63" s="345">
        <v>5</v>
      </c>
      <c r="Q63" s="384">
        <f>SUM(N63:P65)</f>
        <v>15</v>
      </c>
      <c r="R63" s="212">
        <v>15</v>
      </c>
      <c r="S63" s="195">
        <v>0</v>
      </c>
      <c r="T63" s="374">
        <v>0</v>
      </c>
      <c r="U63" s="328"/>
      <c r="V63" s="195">
        <v>0</v>
      </c>
      <c r="W63" s="364">
        <v>0</v>
      </c>
      <c r="X63" s="356">
        <v>0</v>
      </c>
      <c r="Y63" s="155">
        <v>0</v>
      </c>
      <c r="Z63" s="328"/>
      <c r="AA63" s="307" t="e">
        <f>S63/W63</f>
        <v>#DIV/0!</v>
      </c>
      <c r="AB63" s="307" t="e">
        <f>T63/W63</f>
        <v>#DIV/0!</v>
      </c>
      <c r="AC63" s="322"/>
      <c r="AD63" s="307" t="e">
        <f>V63/W63</f>
        <v>#DIV/0!</v>
      </c>
      <c r="AE63" s="278" t="e">
        <f>X63/W63</f>
        <v>#DIV/0!</v>
      </c>
      <c r="AF63" s="278" t="e">
        <f>Y63/W63</f>
        <v>#DIV/0!</v>
      </c>
      <c r="AG63" s="290"/>
      <c r="AH63" s="256" t="e">
        <f t="shared" si="38"/>
        <v>#DIV/0!</v>
      </c>
      <c r="AI63" s="256" t="e">
        <f t="shared" si="38"/>
        <v>#DIV/0!</v>
      </c>
      <c r="AJ63" s="233"/>
      <c r="AK63" s="256" t="e">
        <f t="shared" si="38"/>
        <v>#DIV/0!</v>
      </c>
      <c r="AL63" s="256" t="e">
        <f t="shared" si="38"/>
        <v>#DIV/0!</v>
      </c>
      <c r="AM63" s="256" t="e">
        <f>IF(AND(AF63&gt;=10%,AF63&lt;=19%),"1",IF(AND(AF63&gt;=20%,AF63&lt;=29%),"2",IF(AND(AF63&gt;=30%,AF63&lt;=39%),"3",IF(AND(AF63&gt;=40%,AF63&lt;=49%),"4",IF(AND(AF63&gt;=50%,AF63&lt;=59%),"5",IF(AND(AF63&gt;=60%,AF63&lt;=69%),"6",IF(AND(AF63&gt;=70%,AF63&lt;=79%),"7",IF(AND(AF63&gt;=80%,AF63&lt;=89%),"8",IF(AND(AF63&gt;=90%,AF63&lt;=99%),"9",IF(AND(AF63&gt;=100%,AF63&lt;=105%),"10",IF(AND(AF63&gt;=106%),"0","0")))))))))))</f>
        <v>#DIV/0!</v>
      </c>
      <c r="AN63" s="233"/>
      <c r="AO63" s="241">
        <v>50</v>
      </c>
      <c r="AP63" s="216">
        <v>50</v>
      </c>
      <c r="AQ63" s="201">
        <f>SUM(H63,L63,Q63,AO63)</f>
        <v>75</v>
      </c>
      <c r="AR63" s="212">
        <f>SUM(AP63,R63,M63,I63)</f>
        <v>75</v>
      </c>
      <c r="AS63" s="155"/>
      <c r="AT63" s="155"/>
      <c r="AU63" s="75"/>
    </row>
    <row r="64" spans="1:47" ht="26.25" customHeight="1" x14ac:dyDescent="0.45">
      <c r="A64" s="7"/>
      <c r="B64" s="440"/>
      <c r="C64" s="155"/>
      <c r="D64" s="425"/>
      <c r="E64" s="155"/>
      <c r="F64" s="155"/>
      <c r="G64" s="155"/>
      <c r="H64" s="401"/>
      <c r="I64" s="212"/>
      <c r="J64" s="195"/>
      <c r="K64" s="155"/>
      <c r="L64" s="384"/>
      <c r="M64" s="212"/>
      <c r="N64" s="346"/>
      <c r="O64" s="346"/>
      <c r="P64" s="346"/>
      <c r="Q64" s="384"/>
      <c r="R64" s="212"/>
      <c r="S64" s="195"/>
      <c r="T64" s="374"/>
      <c r="U64" s="328"/>
      <c r="V64" s="195"/>
      <c r="W64" s="365"/>
      <c r="X64" s="357"/>
      <c r="Y64" s="155"/>
      <c r="Z64" s="328"/>
      <c r="AA64" s="308"/>
      <c r="AB64" s="308"/>
      <c r="AC64" s="323"/>
      <c r="AD64" s="308"/>
      <c r="AE64" s="278"/>
      <c r="AF64" s="278"/>
      <c r="AG64" s="291"/>
      <c r="AH64" s="257"/>
      <c r="AI64" s="257"/>
      <c r="AJ64" s="234"/>
      <c r="AK64" s="257"/>
      <c r="AL64" s="257"/>
      <c r="AM64" s="257"/>
      <c r="AN64" s="234"/>
      <c r="AO64" s="242"/>
      <c r="AP64" s="216"/>
      <c r="AQ64" s="202"/>
      <c r="AR64" s="212"/>
      <c r="AS64" s="155"/>
      <c r="AT64" s="155"/>
      <c r="AU64" s="75"/>
    </row>
    <row r="65" spans="1:47" ht="26.25" customHeight="1" x14ac:dyDescent="0.45">
      <c r="A65" s="7"/>
      <c r="B65" s="440"/>
      <c r="C65" s="155"/>
      <c r="D65" s="425"/>
      <c r="E65" s="155"/>
      <c r="F65" s="155"/>
      <c r="G65" s="155"/>
      <c r="H65" s="401"/>
      <c r="I65" s="212"/>
      <c r="J65" s="195"/>
      <c r="K65" s="155"/>
      <c r="L65" s="384"/>
      <c r="M65" s="212"/>
      <c r="N65" s="347"/>
      <c r="O65" s="347"/>
      <c r="P65" s="347"/>
      <c r="Q65" s="384"/>
      <c r="R65" s="212"/>
      <c r="S65" s="195"/>
      <c r="T65" s="374"/>
      <c r="U65" s="328"/>
      <c r="V65" s="195"/>
      <c r="W65" s="366"/>
      <c r="X65" s="358"/>
      <c r="Y65" s="155"/>
      <c r="Z65" s="328"/>
      <c r="AA65" s="309"/>
      <c r="AB65" s="309"/>
      <c r="AC65" s="324"/>
      <c r="AD65" s="309"/>
      <c r="AE65" s="278"/>
      <c r="AF65" s="279"/>
      <c r="AG65" s="292"/>
      <c r="AH65" s="258"/>
      <c r="AI65" s="258"/>
      <c r="AJ65" s="235"/>
      <c r="AK65" s="258"/>
      <c r="AL65" s="258"/>
      <c r="AM65" s="258"/>
      <c r="AN65" s="235"/>
      <c r="AO65" s="243"/>
      <c r="AP65" s="216"/>
      <c r="AQ65" s="203"/>
      <c r="AR65" s="212"/>
      <c r="AS65" s="155"/>
      <c r="AT65" s="155"/>
      <c r="AU65" s="75"/>
    </row>
    <row r="66" spans="1:47" ht="16.899999999999999" customHeight="1" x14ac:dyDescent="0.45">
      <c r="A66" s="7"/>
      <c r="B66" s="440"/>
      <c r="C66" s="155" t="s">
        <v>93</v>
      </c>
      <c r="D66" s="425" t="s">
        <v>94</v>
      </c>
      <c r="E66" s="155">
        <v>2</v>
      </c>
      <c r="F66" s="155">
        <v>2</v>
      </c>
      <c r="G66" s="155">
        <v>2</v>
      </c>
      <c r="H66" s="384">
        <f>SUM(E66:G68)</f>
        <v>6</v>
      </c>
      <c r="I66" s="212">
        <v>6</v>
      </c>
      <c r="J66" s="195">
        <v>2</v>
      </c>
      <c r="K66" s="155">
        <v>2</v>
      </c>
      <c r="L66" s="384">
        <f>SUM(J66:K68)</f>
        <v>4</v>
      </c>
      <c r="M66" s="212">
        <v>4</v>
      </c>
      <c r="N66" s="195">
        <v>5</v>
      </c>
      <c r="O66" s="155">
        <v>5</v>
      </c>
      <c r="P66" s="155">
        <v>5</v>
      </c>
      <c r="Q66" s="384">
        <f>SUM(N66:P68)</f>
        <v>15</v>
      </c>
      <c r="R66" s="212">
        <v>15</v>
      </c>
      <c r="S66" s="195">
        <v>0</v>
      </c>
      <c r="T66" s="374">
        <v>0</v>
      </c>
      <c r="U66" s="328"/>
      <c r="V66" s="195">
        <v>0</v>
      </c>
      <c r="W66" s="356">
        <v>0</v>
      </c>
      <c r="X66" s="49">
        <v>0</v>
      </c>
      <c r="Y66" s="346">
        <v>0</v>
      </c>
      <c r="Z66" s="328"/>
      <c r="AA66" s="307" t="e">
        <f>S66/W66</f>
        <v>#DIV/0!</v>
      </c>
      <c r="AB66" s="307" t="e">
        <f>T66/W66</f>
        <v>#DIV/0!</v>
      </c>
      <c r="AC66" s="322"/>
      <c r="AD66" s="307" t="e">
        <f>V66/W66</f>
        <v>#DIV/0!</v>
      </c>
      <c r="AE66" s="307" t="e">
        <f>Y66/W66</f>
        <v>#DIV/0!</v>
      </c>
      <c r="AF66" s="280" t="e">
        <f>Y66/W66</f>
        <v>#DIV/0!</v>
      </c>
      <c r="AG66" s="293"/>
      <c r="AH66" s="256" t="e">
        <f t="shared" ref="AH66:AM66" si="39">IF(AND(AA66&gt;=10%,AA66&lt;=19%),"1",IF(AND(AA66&gt;=20%,AA66&lt;=29%),"2",IF(AND(AA66&gt;=30%,AA66&lt;=39%),"3",IF(AND(AA66&gt;=40%,AA66&lt;=49%),"4",IF(AND(AA66&gt;=50%,AA66&lt;=59%),"5",IF(AND(AA66&gt;=60%,AA66&lt;=69%),"6",IF(AND(AA66&gt;=70%,AA66&lt;=79%),"7",IF(AND(AA66&gt;=80%,AA66&lt;=89%),"8",IF(AND(AA66&gt;=90%,AA66&lt;=99%),"9",IF(AND(AA66&gt;=100%,AA66&lt;=105%),"10",IF(AND(AA66&gt;=106%),"0","0")))))))))))</f>
        <v>#DIV/0!</v>
      </c>
      <c r="AI66" s="256" t="e">
        <f t="shared" si="39"/>
        <v>#DIV/0!</v>
      </c>
      <c r="AJ66" s="233"/>
      <c r="AK66" s="256" t="e">
        <f t="shared" si="39"/>
        <v>#DIV/0!</v>
      </c>
      <c r="AL66" s="256" t="e">
        <f t="shared" si="39"/>
        <v>#DIV/0!</v>
      </c>
      <c r="AM66" s="256" t="e">
        <f t="shared" si="39"/>
        <v>#DIV/0!</v>
      </c>
      <c r="AN66" s="233"/>
      <c r="AO66" s="241">
        <v>50</v>
      </c>
      <c r="AP66" s="216">
        <v>50</v>
      </c>
      <c r="AQ66" s="201">
        <f>SUM(H66,L66,Q66,AO66)</f>
        <v>75</v>
      </c>
      <c r="AR66" s="212">
        <f>SUM(AP66,R66,M66,I66)</f>
        <v>75</v>
      </c>
      <c r="AS66" s="195"/>
      <c r="AT66" s="155"/>
      <c r="AU66" s="75"/>
    </row>
    <row r="67" spans="1:47" ht="17.25" customHeight="1" x14ac:dyDescent="0.45">
      <c r="A67" s="7"/>
      <c r="B67" s="440"/>
      <c r="C67" s="155"/>
      <c r="D67" s="425"/>
      <c r="E67" s="155"/>
      <c r="F67" s="155"/>
      <c r="G67" s="155"/>
      <c r="H67" s="384"/>
      <c r="I67" s="212"/>
      <c r="J67" s="195"/>
      <c r="K67" s="155"/>
      <c r="L67" s="384"/>
      <c r="M67" s="212"/>
      <c r="N67" s="195"/>
      <c r="O67" s="155"/>
      <c r="P67" s="155"/>
      <c r="Q67" s="384"/>
      <c r="R67" s="212"/>
      <c r="S67" s="195"/>
      <c r="T67" s="374"/>
      <c r="U67" s="328"/>
      <c r="V67" s="195"/>
      <c r="W67" s="357"/>
      <c r="X67" s="49"/>
      <c r="Y67" s="346"/>
      <c r="Z67" s="328"/>
      <c r="AA67" s="308"/>
      <c r="AB67" s="308"/>
      <c r="AC67" s="323"/>
      <c r="AD67" s="308"/>
      <c r="AE67" s="308"/>
      <c r="AF67" s="278"/>
      <c r="AG67" s="291"/>
      <c r="AH67" s="257"/>
      <c r="AI67" s="257"/>
      <c r="AJ67" s="234"/>
      <c r="AK67" s="257"/>
      <c r="AL67" s="257"/>
      <c r="AM67" s="257"/>
      <c r="AN67" s="234"/>
      <c r="AO67" s="242"/>
      <c r="AP67" s="216"/>
      <c r="AQ67" s="202"/>
      <c r="AR67" s="212"/>
      <c r="AS67" s="195"/>
      <c r="AT67" s="155"/>
      <c r="AU67" s="75"/>
    </row>
    <row r="68" spans="1:47" ht="19.899999999999999" customHeight="1" x14ac:dyDescent="0.45">
      <c r="A68" s="7"/>
      <c r="B68" s="440"/>
      <c r="C68" s="155"/>
      <c r="D68" s="425"/>
      <c r="E68" s="155"/>
      <c r="F68" s="155"/>
      <c r="G68" s="155"/>
      <c r="H68" s="384"/>
      <c r="I68" s="212"/>
      <c r="J68" s="195"/>
      <c r="K68" s="155"/>
      <c r="L68" s="384"/>
      <c r="M68" s="212"/>
      <c r="N68" s="195"/>
      <c r="O68" s="155"/>
      <c r="P68" s="155"/>
      <c r="Q68" s="384"/>
      <c r="R68" s="212"/>
      <c r="S68" s="195"/>
      <c r="T68" s="374"/>
      <c r="U68" s="328"/>
      <c r="V68" s="195"/>
      <c r="W68" s="358"/>
      <c r="X68" s="118"/>
      <c r="Y68" s="347"/>
      <c r="Z68" s="328"/>
      <c r="AA68" s="309"/>
      <c r="AB68" s="309"/>
      <c r="AC68" s="324"/>
      <c r="AD68" s="309"/>
      <c r="AE68" s="309"/>
      <c r="AF68" s="278"/>
      <c r="AG68" s="294"/>
      <c r="AH68" s="258"/>
      <c r="AI68" s="258"/>
      <c r="AJ68" s="235"/>
      <c r="AK68" s="258"/>
      <c r="AL68" s="258"/>
      <c r="AM68" s="258"/>
      <c r="AN68" s="235"/>
      <c r="AO68" s="243"/>
      <c r="AP68" s="216"/>
      <c r="AQ68" s="203"/>
      <c r="AR68" s="212"/>
      <c r="AS68" s="195"/>
      <c r="AT68" s="155"/>
      <c r="AU68" s="75"/>
    </row>
    <row r="69" spans="1:47" ht="26.25" customHeight="1" x14ac:dyDescent="0.45">
      <c r="A69" s="7"/>
      <c r="B69" s="440"/>
      <c r="C69" s="417" t="s">
        <v>95</v>
      </c>
      <c r="D69" s="90" t="s">
        <v>96</v>
      </c>
      <c r="E69" s="91">
        <v>2</v>
      </c>
      <c r="F69" s="91">
        <v>2</v>
      </c>
      <c r="G69" s="91">
        <v>2</v>
      </c>
      <c r="H69" s="92">
        <f>SUM(E69:G69)</f>
        <v>6</v>
      </c>
      <c r="I69" s="26">
        <v>6</v>
      </c>
      <c r="J69" s="91">
        <v>2</v>
      </c>
      <c r="K69" s="91">
        <v>2</v>
      </c>
      <c r="L69" s="92">
        <f>SUM(J69:K69)</f>
        <v>4</v>
      </c>
      <c r="M69" s="26">
        <v>4</v>
      </c>
      <c r="N69" s="111">
        <v>5</v>
      </c>
      <c r="O69" s="91">
        <v>5</v>
      </c>
      <c r="P69" s="112">
        <v>5</v>
      </c>
      <c r="Q69" s="119">
        <f>SUM(N69:P69)</f>
        <v>15</v>
      </c>
      <c r="R69" s="26">
        <v>15</v>
      </c>
      <c r="S69" s="120">
        <v>1</v>
      </c>
      <c r="T69" s="120">
        <v>1</v>
      </c>
      <c r="U69" s="121"/>
      <c r="V69" s="120">
        <v>1</v>
      </c>
      <c r="W69" s="120">
        <v>1</v>
      </c>
      <c r="X69" s="120">
        <v>1</v>
      </c>
      <c r="Y69" s="122"/>
      <c r="Z69" s="123"/>
      <c r="AA69" s="124">
        <f>S69/W69</f>
        <v>1</v>
      </c>
      <c r="AB69" s="124">
        <f>T69/W69</f>
        <v>1</v>
      </c>
      <c r="AC69" s="125"/>
      <c r="AD69" s="124">
        <f>V69/W69</f>
        <v>1</v>
      </c>
      <c r="AE69" s="126">
        <f>X69/W69</f>
        <v>1</v>
      </c>
      <c r="AF69" s="127"/>
      <c r="AG69" s="127"/>
      <c r="AH69" s="72" t="str">
        <f t="shared" ref="AH69:AI73" si="40">IF(AND(AA69&gt;=10%,AA69&lt;=19%),"1",IF(AND(AA69&gt;=20%,AA69&lt;=29%),"2",IF(AND(AA69&gt;=30%,AA69&lt;=39%),"3",IF(AND(AA69&gt;=40%,AA69&lt;=49%),"4",IF(AND(AA69&gt;=50%,AA69&lt;=59%),"5",IF(AND(AA69&gt;=60%,AA69&lt;=69%),"6",IF(AND(AA69&gt;=70%,AA69&lt;=79%),"7",IF(AND(AA69&gt;=80%,AA69&lt;=89%),"8",IF(AND(AA69&gt;=90%,AA69&lt;=99%),"9",IF(AND(AA69&gt;=100%,AA69&lt;=105%),"10",IF(AND(AA69&gt;=106%),"0","0")))))))))))</f>
        <v>10</v>
      </c>
      <c r="AI69" s="72" t="str">
        <f t="shared" si="40"/>
        <v>10</v>
      </c>
      <c r="AJ69" s="131"/>
      <c r="AK69" s="72" t="str">
        <f t="shared" ref="AK69:AL73" si="41">IF(AND(AD69&gt;=10%,AD69&lt;=19%),"1",IF(AND(AD69&gt;=20%,AD69&lt;=29%),"2",IF(AND(AD69&gt;=30%,AD69&lt;=39%),"3",IF(AND(AD69&gt;=40%,AD69&lt;=49%),"4",IF(AND(AD69&gt;=50%,AD69&lt;=59%),"5",IF(AND(AD69&gt;=60%,AD69&lt;=69%),"6",IF(AND(AD69&gt;=70%,AD69&lt;=79%),"7",IF(AND(AD69&gt;=80%,AD69&lt;=89%),"8",IF(AND(AD69&gt;=90%,AD69&lt;=99%),"9",IF(AND(AD69&gt;=100%,AD69&lt;=105%),"10",IF(AND(AD69&gt;=106%),"0","0")))))))))))</f>
        <v>10</v>
      </c>
      <c r="AL69" s="132" t="str">
        <f t="shared" si="41"/>
        <v>10</v>
      </c>
      <c r="AM69" s="73"/>
      <c r="AN69" s="133"/>
      <c r="AO69" s="17">
        <f>AH69+AI69+AK69+AL69</f>
        <v>40</v>
      </c>
      <c r="AP69" s="135">
        <v>40</v>
      </c>
      <c r="AQ69" s="89">
        <f>SUM(H69,L69,Q69,AO69)</f>
        <v>65</v>
      </c>
      <c r="AR69" s="136">
        <f>SUM(AP69,R69,M69,I69)</f>
        <v>65</v>
      </c>
      <c r="AS69" s="137"/>
      <c r="AT69" s="138"/>
      <c r="AU69" s="75"/>
    </row>
    <row r="70" spans="1:47" ht="26.25" customHeight="1" x14ac:dyDescent="0.45">
      <c r="A70" s="7"/>
      <c r="B70" s="440"/>
      <c r="C70" s="418"/>
      <c r="D70" s="93" t="s">
        <v>97</v>
      </c>
      <c r="E70" s="91">
        <v>2</v>
      </c>
      <c r="F70" s="91">
        <v>2</v>
      </c>
      <c r="G70" s="91">
        <v>2</v>
      </c>
      <c r="H70" s="92">
        <f t="shared" ref="H70:H73" si="42">SUM(E70:G70)</f>
        <v>6</v>
      </c>
      <c r="I70" s="26">
        <v>6</v>
      </c>
      <c r="J70" s="91">
        <v>2</v>
      </c>
      <c r="K70" s="91">
        <v>2</v>
      </c>
      <c r="L70" s="92">
        <f>SUM(J70:K70)</f>
        <v>4</v>
      </c>
      <c r="M70" s="26">
        <v>4</v>
      </c>
      <c r="N70" s="111">
        <v>5</v>
      </c>
      <c r="O70" s="91">
        <v>5</v>
      </c>
      <c r="P70" s="112">
        <v>5</v>
      </c>
      <c r="Q70" s="119">
        <f>SUM(N70:P70)</f>
        <v>15</v>
      </c>
      <c r="R70" s="26">
        <v>15</v>
      </c>
      <c r="S70" s="120">
        <v>0</v>
      </c>
      <c r="T70" s="120">
        <v>0</v>
      </c>
      <c r="U70" s="121"/>
      <c r="V70" s="120">
        <v>0</v>
      </c>
      <c r="W70" s="120">
        <v>0</v>
      </c>
      <c r="X70" s="120">
        <v>0</v>
      </c>
      <c r="Y70" s="122"/>
      <c r="Z70" s="122"/>
      <c r="AA70" s="128" t="e">
        <f>S70/W70</f>
        <v>#DIV/0!</v>
      </c>
      <c r="AB70" s="124" t="e">
        <f>T70/W70</f>
        <v>#DIV/0!</v>
      </c>
      <c r="AC70" s="125"/>
      <c r="AD70" s="124" t="e">
        <f>V70/W70</f>
        <v>#DIV/0!</v>
      </c>
      <c r="AE70" s="126" t="e">
        <f>X70/W70</f>
        <v>#DIV/0!</v>
      </c>
      <c r="AF70" s="127"/>
      <c r="AG70" s="127"/>
      <c r="AH70" s="72" t="e">
        <f t="shared" si="40"/>
        <v>#DIV/0!</v>
      </c>
      <c r="AI70" s="72" t="e">
        <f t="shared" si="40"/>
        <v>#DIV/0!</v>
      </c>
      <c r="AJ70" s="131"/>
      <c r="AK70" s="72" t="e">
        <f t="shared" si="41"/>
        <v>#DIV/0!</v>
      </c>
      <c r="AL70" s="132" t="e">
        <f t="shared" si="41"/>
        <v>#DIV/0!</v>
      </c>
      <c r="AM70" s="73"/>
      <c r="AN70" s="133"/>
      <c r="AO70" s="17">
        <v>40</v>
      </c>
      <c r="AP70" s="135">
        <v>40</v>
      </c>
      <c r="AQ70" s="89">
        <f>SUM(H70,L70,Q70,AO70)</f>
        <v>65</v>
      </c>
      <c r="AR70" s="136">
        <f>SUM(AP70,R70,M70,I70)</f>
        <v>65</v>
      </c>
      <c r="AS70" s="137"/>
      <c r="AT70" s="138"/>
      <c r="AU70" s="75"/>
    </row>
    <row r="71" spans="1:47" ht="26.25" customHeight="1" x14ac:dyDescent="0.45">
      <c r="A71" s="7"/>
      <c r="B71" s="440"/>
      <c r="C71" s="418"/>
      <c r="D71" s="93" t="s">
        <v>98</v>
      </c>
      <c r="E71" s="91">
        <v>2</v>
      </c>
      <c r="F71" s="91">
        <v>2</v>
      </c>
      <c r="G71" s="91">
        <v>2</v>
      </c>
      <c r="H71" s="92">
        <f t="shared" si="42"/>
        <v>6</v>
      </c>
      <c r="I71" s="26">
        <v>6</v>
      </c>
      <c r="J71" s="91">
        <v>2</v>
      </c>
      <c r="K71" s="91">
        <v>2</v>
      </c>
      <c r="L71" s="92">
        <f>SUM(J71:K71)</f>
        <v>4</v>
      </c>
      <c r="M71" s="26">
        <v>4</v>
      </c>
      <c r="N71" s="111">
        <v>5</v>
      </c>
      <c r="O71" s="91">
        <v>5</v>
      </c>
      <c r="P71" s="112">
        <v>5</v>
      </c>
      <c r="Q71" s="119">
        <f>SUM(N71:P71)</f>
        <v>15</v>
      </c>
      <c r="R71" s="26">
        <v>15</v>
      </c>
      <c r="S71" s="120">
        <v>0</v>
      </c>
      <c r="T71" s="120">
        <v>0</v>
      </c>
      <c r="U71" s="121"/>
      <c r="V71" s="120">
        <v>0</v>
      </c>
      <c r="W71" s="120">
        <v>0</v>
      </c>
      <c r="X71" s="120">
        <v>0</v>
      </c>
      <c r="Y71" s="122"/>
      <c r="Z71" s="122"/>
      <c r="AA71" s="128" t="e">
        <f>S71/W71</f>
        <v>#DIV/0!</v>
      </c>
      <c r="AB71" s="124" t="e">
        <f>T71/W71</f>
        <v>#DIV/0!</v>
      </c>
      <c r="AC71" s="125"/>
      <c r="AD71" s="124" t="e">
        <f>V71/W71</f>
        <v>#DIV/0!</v>
      </c>
      <c r="AE71" s="126" t="e">
        <f>X71/W71</f>
        <v>#DIV/0!</v>
      </c>
      <c r="AF71" s="127"/>
      <c r="AG71" s="127"/>
      <c r="AH71" s="72" t="e">
        <f t="shared" si="40"/>
        <v>#DIV/0!</v>
      </c>
      <c r="AI71" s="72" t="e">
        <f t="shared" si="40"/>
        <v>#DIV/0!</v>
      </c>
      <c r="AJ71" s="131"/>
      <c r="AK71" s="72" t="e">
        <f t="shared" si="41"/>
        <v>#DIV/0!</v>
      </c>
      <c r="AL71" s="132" t="e">
        <f t="shared" si="41"/>
        <v>#DIV/0!</v>
      </c>
      <c r="AM71" s="73"/>
      <c r="AN71" s="133"/>
      <c r="AO71" s="17">
        <v>40</v>
      </c>
      <c r="AP71" s="135">
        <v>40</v>
      </c>
      <c r="AQ71" s="89">
        <f>SUM(H71,L71,Q71,AO71)</f>
        <v>65</v>
      </c>
      <c r="AR71" s="136">
        <f t="shared" ref="AR71:AR73" si="43">SUM(AP71,R71,M71,I71)</f>
        <v>65</v>
      </c>
      <c r="AS71" s="137"/>
      <c r="AT71" s="138"/>
      <c r="AU71" s="75"/>
    </row>
    <row r="72" spans="1:47" ht="26.25" customHeight="1" x14ac:dyDescent="0.45">
      <c r="A72" s="7"/>
      <c r="B72" s="440"/>
      <c r="C72" s="418"/>
      <c r="D72" s="93" t="s">
        <v>99</v>
      </c>
      <c r="E72" s="91">
        <v>2</v>
      </c>
      <c r="F72" s="91">
        <v>2</v>
      </c>
      <c r="G72" s="91">
        <v>2</v>
      </c>
      <c r="H72" s="92">
        <f t="shared" si="42"/>
        <v>6</v>
      </c>
      <c r="I72" s="26">
        <v>6</v>
      </c>
      <c r="J72" s="91">
        <v>2</v>
      </c>
      <c r="K72" s="91">
        <v>2</v>
      </c>
      <c r="L72" s="92">
        <f>SUM(J72:K72)</f>
        <v>4</v>
      </c>
      <c r="M72" s="26">
        <v>4</v>
      </c>
      <c r="N72" s="111">
        <v>5</v>
      </c>
      <c r="O72" s="91">
        <v>5</v>
      </c>
      <c r="P72" s="112">
        <v>5</v>
      </c>
      <c r="Q72" s="119">
        <f>SUM(N72:P72)</f>
        <v>15</v>
      </c>
      <c r="R72" s="26">
        <v>15</v>
      </c>
      <c r="S72" s="120">
        <v>0</v>
      </c>
      <c r="T72" s="120">
        <v>0</v>
      </c>
      <c r="U72" s="121"/>
      <c r="V72" s="120">
        <v>0</v>
      </c>
      <c r="W72" s="120">
        <v>0</v>
      </c>
      <c r="X72" s="120">
        <v>0</v>
      </c>
      <c r="Y72" s="122"/>
      <c r="Z72" s="122"/>
      <c r="AA72" s="128" t="e">
        <f>S72/W72</f>
        <v>#DIV/0!</v>
      </c>
      <c r="AB72" s="124" t="e">
        <f>T72/W72</f>
        <v>#DIV/0!</v>
      </c>
      <c r="AC72" s="125"/>
      <c r="AD72" s="124" t="e">
        <f>V72/W72</f>
        <v>#DIV/0!</v>
      </c>
      <c r="AE72" s="126" t="e">
        <f>X72/W72</f>
        <v>#DIV/0!</v>
      </c>
      <c r="AF72" s="127"/>
      <c r="AG72" s="127"/>
      <c r="AH72" s="72" t="e">
        <f t="shared" si="40"/>
        <v>#DIV/0!</v>
      </c>
      <c r="AI72" s="72" t="e">
        <f t="shared" si="40"/>
        <v>#DIV/0!</v>
      </c>
      <c r="AJ72" s="131"/>
      <c r="AK72" s="72" t="e">
        <f t="shared" si="41"/>
        <v>#DIV/0!</v>
      </c>
      <c r="AL72" s="132" t="e">
        <f t="shared" si="41"/>
        <v>#DIV/0!</v>
      </c>
      <c r="AM72" s="73"/>
      <c r="AN72" s="133"/>
      <c r="AO72" s="17">
        <v>40</v>
      </c>
      <c r="AP72" s="135">
        <v>40</v>
      </c>
      <c r="AQ72" s="89">
        <f>SUM(H72,L72,Q72,AO72)</f>
        <v>65</v>
      </c>
      <c r="AR72" s="136">
        <f t="shared" si="43"/>
        <v>65</v>
      </c>
      <c r="AS72" s="137"/>
      <c r="AT72" s="138"/>
      <c r="AU72" s="75"/>
    </row>
    <row r="73" spans="1:47" ht="26.25" customHeight="1" x14ac:dyDescent="0.45">
      <c r="A73" s="7"/>
      <c r="B73" s="440"/>
      <c r="C73" s="419"/>
      <c r="D73" s="94" t="s">
        <v>100</v>
      </c>
      <c r="E73" s="91">
        <v>2</v>
      </c>
      <c r="F73" s="91">
        <v>2</v>
      </c>
      <c r="G73" s="91">
        <v>2</v>
      </c>
      <c r="H73" s="92">
        <f t="shared" si="42"/>
        <v>6</v>
      </c>
      <c r="I73" s="26">
        <v>6</v>
      </c>
      <c r="J73" s="91">
        <v>2</v>
      </c>
      <c r="K73" s="91">
        <v>2</v>
      </c>
      <c r="L73" s="92">
        <f>SUM(J73:K73)</f>
        <v>4</v>
      </c>
      <c r="M73" s="26">
        <v>4</v>
      </c>
      <c r="N73" s="111">
        <v>5</v>
      </c>
      <c r="O73" s="91">
        <v>5</v>
      </c>
      <c r="P73" s="112">
        <v>5</v>
      </c>
      <c r="Q73" s="119">
        <f>SUM(N73:P73)</f>
        <v>15</v>
      </c>
      <c r="R73" s="26">
        <v>15</v>
      </c>
      <c r="S73" s="120">
        <v>0</v>
      </c>
      <c r="T73" s="120">
        <v>0</v>
      </c>
      <c r="U73" s="121"/>
      <c r="V73" s="120">
        <v>0</v>
      </c>
      <c r="W73" s="120">
        <v>0</v>
      </c>
      <c r="X73" s="154">
        <v>3</v>
      </c>
      <c r="Y73" s="122"/>
      <c r="Z73" s="122"/>
      <c r="AA73" s="128" t="e">
        <f>S73/W73</f>
        <v>#DIV/0!</v>
      </c>
      <c r="AB73" s="124" t="e">
        <f>T73/W73</f>
        <v>#DIV/0!</v>
      </c>
      <c r="AC73" s="125"/>
      <c r="AD73" s="124" t="e">
        <f>V72/W73</f>
        <v>#DIV/0!</v>
      </c>
      <c r="AE73" s="126" t="e">
        <f>X73/W73</f>
        <v>#DIV/0!</v>
      </c>
      <c r="AF73" s="127"/>
      <c r="AG73" s="127"/>
      <c r="AH73" s="72" t="e">
        <f t="shared" si="40"/>
        <v>#DIV/0!</v>
      </c>
      <c r="AI73" s="72" t="e">
        <f t="shared" si="40"/>
        <v>#DIV/0!</v>
      </c>
      <c r="AJ73" s="131"/>
      <c r="AK73" s="72" t="e">
        <f t="shared" si="41"/>
        <v>#DIV/0!</v>
      </c>
      <c r="AL73" s="132" t="e">
        <f t="shared" si="41"/>
        <v>#DIV/0!</v>
      </c>
      <c r="AM73" s="73"/>
      <c r="AN73" s="73"/>
      <c r="AO73" s="17">
        <v>30</v>
      </c>
      <c r="AP73" s="135">
        <v>40</v>
      </c>
      <c r="AQ73" s="89">
        <f>SUM(H73,L73,Q73,AO73)</f>
        <v>55</v>
      </c>
      <c r="AR73" s="136">
        <f t="shared" si="43"/>
        <v>65</v>
      </c>
      <c r="AS73" s="137"/>
      <c r="AT73" s="138"/>
      <c r="AU73" s="75"/>
    </row>
    <row r="74" spans="1:47" s="2" customFormat="1" ht="63.75" customHeight="1" x14ac:dyDescent="0.45">
      <c r="A74" s="19"/>
      <c r="B74" s="440"/>
      <c r="C74" s="95"/>
      <c r="D74" s="96"/>
      <c r="E74" s="23"/>
      <c r="F74" s="23"/>
      <c r="G74" s="23"/>
      <c r="H74" s="35">
        <f>SUM(H62:H73)</f>
        <v>48</v>
      </c>
      <c r="I74" s="35">
        <f>SUM(I62:I73)</f>
        <v>48</v>
      </c>
      <c r="J74" s="23"/>
      <c r="K74" s="23"/>
      <c r="L74" s="35">
        <f>SUM(L62:L73)</f>
        <v>32</v>
      </c>
      <c r="M74" s="35">
        <f>SUM(M62:M73)</f>
        <v>32</v>
      </c>
      <c r="N74" s="113"/>
      <c r="O74" s="114"/>
      <c r="P74" s="115"/>
      <c r="Q74" s="35">
        <f>SUM(Q62:Q73)</f>
        <v>120</v>
      </c>
      <c r="R74" s="35">
        <f>SUM(R62:R73)</f>
        <v>120</v>
      </c>
      <c r="S74" s="435"/>
      <c r="T74" s="435"/>
      <c r="U74" s="435"/>
      <c r="V74" s="435"/>
      <c r="W74" s="435"/>
      <c r="X74" s="435"/>
      <c r="Y74" s="435"/>
      <c r="Z74" s="435"/>
      <c r="AA74" s="435"/>
      <c r="AB74" s="435"/>
      <c r="AC74" s="435"/>
      <c r="AD74" s="435"/>
      <c r="AE74" s="435"/>
      <c r="AF74" s="435"/>
      <c r="AG74" s="435"/>
      <c r="AH74" s="435"/>
      <c r="AI74" s="435"/>
      <c r="AJ74" s="435"/>
      <c r="AK74" s="435"/>
      <c r="AL74" s="435"/>
      <c r="AM74" s="435"/>
      <c r="AN74" s="64"/>
      <c r="AO74" s="35">
        <f>SUM(AO62:AO73)</f>
        <v>340</v>
      </c>
      <c r="AP74" s="84">
        <f>SUM(AP62:AP73)</f>
        <v>350</v>
      </c>
      <c r="AQ74" s="85">
        <f>SUM(AQ62:AQ73)</f>
        <v>540</v>
      </c>
      <c r="AR74" s="35">
        <f>SUM(AR62:AR73)</f>
        <v>550</v>
      </c>
      <c r="AS74" s="86"/>
      <c r="AT74" s="87"/>
      <c r="AU74" s="75"/>
    </row>
    <row r="75" spans="1:47" ht="32.65" customHeight="1" x14ac:dyDescent="0.45">
      <c r="A75" s="7"/>
      <c r="B75" s="440"/>
      <c r="C75" s="155" t="s">
        <v>101</v>
      </c>
      <c r="D75" s="425" t="s">
        <v>102</v>
      </c>
      <c r="E75" s="155">
        <v>2</v>
      </c>
      <c r="F75" s="155">
        <v>2</v>
      </c>
      <c r="G75" s="155">
        <v>2</v>
      </c>
      <c r="H75" s="386">
        <f>SUM(E75:G77)</f>
        <v>6</v>
      </c>
      <c r="I75" s="212">
        <v>6</v>
      </c>
      <c r="J75" s="155">
        <v>2</v>
      </c>
      <c r="K75" s="155">
        <v>2</v>
      </c>
      <c r="L75" s="386">
        <f>SUM(J75:K77)</f>
        <v>4</v>
      </c>
      <c r="M75" s="212">
        <v>4</v>
      </c>
      <c r="N75" s="155">
        <v>5</v>
      </c>
      <c r="O75" s="155">
        <v>5</v>
      </c>
      <c r="P75" s="155">
        <v>5</v>
      </c>
      <c r="Q75" s="386">
        <f>SUM(N75:P77)</f>
        <v>15</v>
      </c>
      <c r="R75" s="212">
        <v>15</v>
      </c>
      <c r="S75" s="155">
        <v>681</v>
      </c>
      <c r="T75" s="155">
        <v>681</v>
      </c>
      <c r="U75" s="328"/>
      <c r="V75" s="371">
        <v>687</v>
      </c>
      <c r="W75" s="155">
        <v>681</v>
      </c>
      <c r="X75" s="345">
        <v>681</v>
      </c>
      <c r="Y75" s="328"/>
      <c r="Z75" s="328"/>
      <c r="AA75" s="301">
        <f>S75/W75</f>
        <v>1</v>
      </c>
      <c r="AB75" s="301">
        <f>T75/W75</f>
        <v>1</v>
      </c>
      <c r="AC75" s="325"/>
      <c r="AD75" s="301">
        <f>V75/W75</f>
        <v>1.0088105726872247</v>
      </c>
      <c r="AE75" s="310">
        <f>X75/W75</f>
        <v>1</v>
      </c>
      <c r="AF75" s="272"/>
      <c r="AG75" s="295"/>
      <c r="AH75" s="256" t="str">
        <f>IF(AND(AA75&gt;=10%,AA75&lt;=19%),"1",IF(AND(AA75&gt;=20%,AA75&lt;=29%),"2",IF(AND(AA75&gt;=30%,AA75&lt;=39%),"3",IF(AND(AA75&gt;=40%,AA75&lt;=49%),"4",IF(AND(AA75&gt;=50%,AA75&lt;=59%),"5",IF(AND(AA75&gt;=60%,AA75&lt;=69%),"6",IF(AND(AA75&gt;=70%,AA75&lt;=79%),"7",IF(AND(AA75&gt;=80%,AA75&lt;=89%),"8",IF(AND(AA75&gt;=90%,AA75&lt;=99%),"9",IF(AND(AA75&gt;=100%,AA75&lt;=105%),"10",IF(AND(AA75&gt;=106%),"0","0")))))))))))</f>
        <v>10</v>
      </c>
      <c r="AI75" s="256" t="str">
        <f>IF(AND(AB75&gt;=10%,AB75&lt;=19%),"1",IF(AND(AB75&gt;=20%,AB75&lt;=29%),"2",IF(AND(AB75&gt;=30%,AB75&lt;=39%),"3",IF(AND(AB75&gt;=40%,AB75&lt;=49%),"4",IF(AND(AB75&gt;=50%,AB75&lt;=59%),"5",IF(AND(AB75&gt;=60%,AB75&lt;=69%),"6",IF(AND(AB75&gt;=70%,AB75&lt;=79%),"7",IF(AND(AB75&gt;=80%,AB75&lt;=89%),"8",IF(AND(AB75&gt;=90%,AB75&lt;=99%),"9",IF(AND(AB75&gt;=100%,AB75&lt;=105%),"10",IF(AND(AB75&gt;=106%),"0","0")))))))))))</f>
        <v>10</v>
      </c>
      <c r="AJ75" s="267"/>
      <c r="AK75" s="256" t="str">
        <f>IF(AND(AD75&gt;=10%,AD75&lt;=19%),"1",IF(AND(AD75&gt;=20%,AD75&lt;=29%),"2",IF(AND(AD75&gt;=30%,AD75&lt;=39%),"3",IF(AND(AD75&gt;=40%,AD75&lt;=49%),"4",IF(AND(AD75&gt;=50%,AD75&lt;=59%),"5",IF(AND(AD75&gt;=60%,AD75&lt;=69%),"6",IF(AND(AD75&gt;=70%,AD75&lt;=79%),"7",IF(AND(AD75&gt;=80%,AD75&lt;=89%),"8",IF(AND(AD75&gt;=90%,AD75&lt;=99%),"9",IF(AND(AD75&gt;=100%,AD75&lt;=105%),"10",IF(AND(AD75&gt;=106%),"0","0")))))))))))</f>
        <v>10</v>
      </c>
      <c r="AL75" s="256" t="str">
        <f>IF(AND(AE75&gt;=10%,AE75&lt;=19%),"1",IF(AND(AE75&gt;=20%,AE75&lt;=29%),"2",IF(AND(AE75&gt;=30%,AE75&lt;=39%),"3",IF(AND(AE75&gt;=40%,AE75&lt;=49%),"4",IF(AND(AE75&gt;=50%,AE75&lt;=59%),"5",IF(AND(AE75&gt;=60%,AE75&lt;=69%),"6",IF(AND(AE75&gt;=70%,AE75&lt;=79%),"7",IF(AND(AE75&gt;=80%,AE75&lt;=89%),"8",IF(AND(AE75&gt;=90%,AE75&lt;=99%),"9",IF(AND(AE75&gt;=100%,AE75&lt;=105%),"10",IF(AND(AE75&gt;=106%),"0","0")))))))))))</f>
        <v>10</v>
      </c>
      <c r="AM75" s="233"/>
      <c r="AN75" s="233"/>
      <c r="AO75" s="241">
        <f>AH75+AI75+AK75+AL75</f>
        <v>40</v>
      </c>
      <c r="AP75" s="216">
        <v>40</v>
      </c>
      <c r="AQ75" s="201">
        <f>SUM(H75,L75,Q75,AO75)</f>
        <v>65</v>
      </c>
      <c r="AR75" s="212">
        <f>SUM(AP75,R75,M75,I75)</f>
        <v>65</v>
      </c>
      <c r="AS75" s="195"/>
      <c r="AT75" s="155"/>
      <c r="AU75" s="75"/>
    </row>
    <row r="76" spans="1:47" ht="22.5" customHeight="1" x14ac:dyDescent="0.45">
      <c r="A76" s="7"/>
      <c r="B76" s="440"/>
      <c r="C76" s="155"/>
      <c r="D76" s="425"/>
      <c r="E76" s="155"/>
      <c r="F76" s="155"/>
      <c r="G76" s="155"/>
      <c r="H76" s="386"/>
      <c r="I76" s="212"/>
      <c r="J76" s="155"/>
      <c r="K76" s="155"/>
      <c r="L76" s="386"/>
      <c r="M76" s="212"/>
      <c r="N76" s="155"/>
      <c r="O76" s="155"/>
      <c r="P76" s="155"/>
      <c r="Q76" s="386"/>
      <c r="R76" s="212"/>
      <c r="S76" s="155"/>
      <c r="T76" s="155"/>
      <c r="U76" s="328"/>
      <c r="V76" s="371"/>
      <c r="W76" s="155"/>
      <c r="X76" s="346"/>
      <c r="Y76" s="328"/>
      <c r="Z76" s="328"/>
      <c r="AA76" s="302"/>
      <c r="AB76" s="302"/>
      <c r="AC76" s="326"/>
      <c r="AD76" s="302"/>
      <c r="AE76" s="310"/>
      <c r="AF76" s="272"/>
      <c r="AG76" s="296"/>
      <c r="AH76" s="257"/>
      <c r="AI76" s="257"/>
      <c r="AJ76" s="268"/>
      <c r="AK76" s="257"/>
      <c r="AL76" s="257"/>
      <c r="AM76" s="234"/>
      <c r="AN76" s="234"/>
      <c r="AO76" s="242"/>
      <c r="AP76" s="216"/>
      <c r="AQ76" s="202"/>
      <c r="AR76" s="212"/>
      <c r="AS76" s="195"/>
      <c r="AT76" s="155"/>
      <c r="AU76" s="75"/>
    </row>
    <row r="77" spans="1:47" ht="33.4" customHeight="1" x14ac:dyDescent="0.45">
      <c r="A77" s="7"/>
      <c r="B77" s="97"/>
      <c r="C77" s="155"/>
      <c r="D77" s="425"/>
      <c r="E77" s="155"/>
      <c r="F77" s="155"/>
      <c r="G77" s="155"/>
      <c r="H77" s="386"/>
      <c r="I77" s="212"/>
      <c r="J77" s="155"/>
      <c r="K77" s="155"/>
      <c r="L77" s="386"/>
      <c r="M77" s="212"/>
      <c r="N77" s="155"/>
      <c r="O77" s="155"/>
      <c r="P77" s="155"/>
      <c r="Q77" s="386"/>
      <c r="R77" s="212"/>
      <c r="S77" s="155"/>
      <c r="T77" s="155"/>
      <c r="U77" s="328"/>
      <c r="V77" s="371"/>
      <c r="W77" s="155"/>
      <c r="X77" s="347"/>
      <c r="Y77" s="328"/>
      <c r="Z77" s="328"/>
      <c r="AA77" s="303"/>
      <c r="AB77" s="303"/>
      <c r="AC77" s="327"/>
      <c r="AD77" s="303"/>
      <c r="AE77" s="310"/>
      <c r="AF77" s="272"/>
      <c r="AG77" s="297"/>
      <c r="AH77" s="258"/>
      <c r="AI77" s="258"/>
      <c r="AJ77" s="269"/>
      <c r="AK77" s="258"/>
      <c r="AL77" s="258"/>
      <c r="AM77" s="235"/>
      <c r="AN77" s="235"/>
      <c r="AO77" s="243"/>
      <c r="AP77" s="216"/>
      <c r="AQ77" s="203"/>
      <c r="AR77" s="212"/>
      <c r="AS77" s="195"/>
      <c r="AT77" s="155"/>
      <c r="AU77" s="156"/>
    </row>
    <row r="78" spans="1:47" ht="17.25" customHeight="1" x14ac:dyDescent="0.45">
      <c r="A78" s="7"/>
      <c r="B78" s="97"/>
      <c r="C78" s="155" t="s">
        <v>103</v>
      </c>
      <c r="D78" s="425" t="s">
        <v>104</v>
      </c>
      <c r="E78" s="155">
        <v>2</v>
      </c>
      <c r="F78" s="155">
        <v>2</v>
      </c>
      <c r="G78" s="155">
        <v>2</v>
      </c>
      <c r="H78" s="386">
        <f t="shared" ref="H78" si="44">SUM(E78:G80)</f>
        <v>6</v>
      </c>
      <c r="I78" s="212">
        <v>6</v>
      </c>
      <c r="J78" s="155">
        <v>2</v>
      </c>
      <c r="K78" s="155">
        <v>2</v>
      </c>
      <c r="L78" s="386">
        <f>SUM(J78:K80)</f>
        <v>4</v>
      </c>
      <c r="M78" s="212">
        <v>4</v>
      </c>
      <c r="N78" s="155">
        <v>5</v>
      </c>
      <c r="O78" s="155">
        <v>5</v>
      </c>
      <c r="P78" s="155">
        <v>5</v>
      </c>
      <c r="Q78" s="386">
        <f>SUM(N78:P80)</f>
        <v>15</v>
      </c>
      <c r="R78" s="212">
        <v>15</v>
      </c>
      <c r="S78" s="155">
        <v>694</v>
      </c>
      <c r="T78" s="155">
        <v>694</v>
      </c>
      <c r="U78" s="328"/>
      <c r="V78" s="371">
        <v>700</v>
      </c>
      <c r="W78" s="155">
        <v>694</v>
      </c>
      <c r="X78" s="345">
        <v>694</v>
      </c>
      <c r="Y78" s="328"/>
      <c r="Z78" s="328"/>
      <c r="AA78" s="302">
        <f>S78/W78</f>
        <v>1</v>
      </c>
      <c r="AB78" s="302">
        <f>T78/W78</f>
        <v>1</v>
      </c>
      <c r="AC78" s="326"/>
      <c r="AD78" s="302">
        <f>V78/W78</f>
        <v>1.0086455331412103</v>
      </c>
      <c r="AE78" s="310">
        <f>X78/W78</f>
        <v>1</v>
      </c>
      <c r="AF78" s="272"/>
      <c r="AG78" s="295"/>
      <c r="AH78" s="257" t="str">
        <f t="shared" ref="AH78:AL78" si="45">IF(AND(AA78&gt;=10%,AA78&lt;=19%),"1",IF(AND(AA78&gt;=20%,AA78&lt;=29%),"2",IF(AND(AA78&gt;=30%,AA78&lt;=39%),"3",IF(AND(AA78&gt;=40%,AA78&lt;=49%),"4",IF(AND(AA78&gt;=50%,AA78&lt;=59%),"5",IF(AND(AA78&gt;=60%,AA78&lt;=69%),"6",IF(AND(AA78&gt;=70%,AA78&lt;=79%),"7",IF(AND(AA78&gt;=80%,AA78&lt;=89%),"8",IF(AND(AA78&gt;=90%,AA78&lt;=99%),"9",IF(AND(AA78&gt;=100%,AA78&lt;=105%),"10",IF(AND(AA78&gt;=106%),"0","0")))))))))))</f>
        <v>10</v>
      </c>
      <c r="AI78" s="257" t="str">
        <f t="shared" si="45"/>
        <v>10</v>
      </c>
      <c r="AJ78" s="268"/>
      <c r="AK78" s="257" t="str">
        <f t="shared" si="45"/>
        <v>10</v>
      </c>
      <c r="AL78" s="256" t="str">
        <f t="shared" si="45"/>
        <v>10</v>
      </c>
      <c r="AM78" s="234"/>
      <c r="AN78" s="233"/>
      <c r="AO78" s="241">
        <f>AH78+AI78+AK78+AL78</f>
        <v>40</v>
      </c>
      <c r="AP78" s="216">
        <v>40</v>
      </c>
      <c r="AQ78" s="201">
        <f>SUM(H78,L78,Q78,AO78)</f>
        <v>65</v>
      </c>
      <c r="AR78" s="212">
        <f t="shared" ref="AR78" si="46">SUM(AP78,R78,M78,I78)</f>
        <v>65</v>
      </c>
      <c r="AS78" s="195"/>
      <c r="AT78" s="155"/>
      <c r="AU78" s="156"/>
    </row>
    <row r="79" spans="1:47" ht="17.25" customHeight="1" x14ac:dyDescent="0.45">
      <c r="A79" s="7"/>
      <c r="B79" s="97"/>
      <c r="C79" s="155"/>
      <c r="D79" s="425"/>
      <c r="E79" s="155"/>
      <c r="F79" s="155"/>
      <c r="G79" s="155"/>
      <c r="H79" s="386"/>
      <c r="I79" s="212"/>
      <c r="J79" s="155"/>
      <c r="K79" s="155"/>
      <c r="L79" s="386"/>
      <c r="M79" s="212"/>
      <c r="N79" s="155"/>
      <c r="O79" s="155"/>
      <c r="P79" s="155"/>
      <c r="Q79" s="386"/>
      <c r="R79" s="212"/>
      <c r="S79" s="155"/>
      <c r="T79" s="155"/>
      <c r="U79" s="328"/>
      <c r="V79" s="371"/>
      <c r="W79" s="155"/>
      <c r="X79" s="346"/>
      <c r="Y79" s="328"/>
      <c r="Z79" s="328"/>
      <c r="AA79" s="302"/>
      <c r="AB79" s="302"/>
      <c r="AC79" s="326"/>
      <c r="AD79" s="302"/>
      <c r="AE79" s="310"/>
      <c r="AF79" s="272"/>
      <c r="AG79" s="296"/>
      <c r="AH79" s="257"/>
      <c r="AI79" s="257"/>
      <c r="AJ79" s="268"/>
      <c r="AK79" s="257"/>
      <c r="AL79" s="257"/>
      <c r="AM79" s="234"/>
      <c r="AN79" s="234"/>
      <c r="AO79" s="242"/>
      <c r="AP79" s="216"/>
      <c r="AQ79" s="202"/>
      <c r="AR79" s="212"/>
      <c r="AS79" s="195"/>
      <c r="AT79" s="155"/>
      <c r="AU79" s="156"/>
    </row>
    <row r="80" spans="1:47" ht="55.9" customHeight="1" thickBot="1" x14ac:dyDescent="0.5">
      <c r="A80" s="7"/>
      <c r="B80" s="97"/>
      <c r="C80" s="155"/>
      <c r="D80" s="425"/>
      <c r="E80" s="155"/>
      <c r="F80" s="155"/>
      <c r="G80" s="155"/>
      <c r="H80" s="386"/>
      <c r="I80" s="212"/>
      <c r="J80" s="155"/>
      <c r="K80" s="155"/>
      <c r="L80" s="386"/>
      <c r="M80" s="212"/>
      <c r="N80" s="155"/>
      <c r="O80" s="155"/>
      <c r="P80" s="155"/>
      <c r="Q80" s="386"/>
      <c r="R80" s="212"/>
      <c r="S80" s="155"/>
      <c r="T80" s="155"/>
      <c r="U80" s="328"/>
      <c r="V80" s="371"/>
      <c r="W80" s="155"/>
      <c r="X80" s="347"/>
      <c r="Y80" s="328"/>
      <c r="Z80" s="328"/>
      <c r="AA80" s="303"/>
      <c r="AB80" s="303"/>
      <c r="AC80" s="327"/>
      <c r="AD80" s="303"/>
      <c r="AE80" s="310"/>
      <c r="AF80" s="272"/>
      <c r="AG80" s="297"/>
      <c r="AH80" s="258"/>
      <c r="AI80" s="258"/>
      <c r="AJ80" s="269"/>
      <c r="AK80" s="258"/>
      <c r="AL80" s="258"/>
      <c r="AM80" s="235"/>
      <c r="AN80" s="235"/>
      <c r="AO80" s="243"/>
      <c r="AP80" s="216"/>
      <c r="AQ80" s="203"/>
      <c r="AR80" s="212"/>
      <c r="AS80" s="195"/>
      <c r="AT80" s="155"/>
      <c r="AU80" s="156"/>
    </row>
    <row r="81" spans="1:47" ht="17.25" hidden="1" customHeight="1" x14ac:dyDescent="0.45">
      <c r="A81" s="7"/>
      <c r="B81" s="97"/>
      <c r="C81" s="345" t="s">
        <v>105</v>
      </c>
      <c r="D81" s="409" t="s">
        <v>106</v>
      </c>
      <c r="E81" s="155"/>
      <c r="F81" s="155"/>
      <c r="G81" s="155"/>
      <c r="H81" s="386">
        <f t="shared" ref="H81" si="47">SUM(E81:G83)</f>
        <v>0</v>
      </c>
      <c r="I81" s="212">
        <v>6</v>
      </c>
      <c r="J81" s="155"/>
      <c r="K81" s="155"/>
      <c r="L81" s="386">
        <f>SUM(J81:K83)</f>
        <v>0</v>
      </c>
      <c r="M81" s="212">
        <v>4</v>
      </c>
      <c r="N81" s="155"/>
      <c r="O81" s="155"/>
      <c r="P81" s="155"/>
      <c r="Q81" s="386">
        <f>SUM(N81:P83)</f>
        <v>0</v>
      </c>
      <c r="R81" s="212">
        <v>15</v>
      </c>
      <c r="S81" s="155"/>
      <c r="T81" s="155"/>
      <c r="U81" s="328"/>
      <c r="V81" s="155"/>
      <c r="W81" s="155"/>
      <c r="X81" s="345"/>
      <c r="Y81" s="328"/>
      <c r="Z81" s="328"/>
      <c r="AA81" s="302" t="e">
        <f>S81/W81</f>
        <v>#DIV/0!</v>
      </c>
      <c r="AB81" s="302" t="e">
        <f>T81/W81</f>
        <v>#DIV/0!</v>
      </c>
      <c r="AC81" s="326"/>
      <c r="AD81" s="302" t="e">
        <f>V81/W81</f>
        <v>#DIV/0!</v>
      </c>
      <c r="AE81" s="310" t="e">
        <f>X81/W81</f>
        <v>#DIV/0!</v>
      </c>
      <c r="AF81" s="272"/>
      <c r="AG81" s="295"/>
      <c r="AH81" s="257" t="e">
        <f t="shared" ref="AH81:AL81" si="48">IF(AND(AA81&gt;=10%,AA81&lt;=19%),"1",IF(AND(AA81&gt;=20%,AA81&lt;=29%),"2",IF(AND(AA81&gt;=30%,AA81&lt;=39%),"3",IF(AND(AA81&gt;=40%,AA81&lt;=49%),"4",IF(AND(AA81&gt;=50%,AA81&lt;=59%),"5",IF(AND(AA81&gt;=60%,AA81&lt;=69%),"6",IF(AND(AA81&gt;=70%,AA81&lt;=79%),"7",IF(AND(AA81&gt;=80%,AA81&lt;=89%),"8",IF(AND(AA81&gt;=90%,AA81&lt;=99%),"9",IF(AND(AA81&gt;=100%,AA81&lt;=105%),"10",IF(AND(AA81&gt;=106%),"0","0")))))))))))</f>
        <v>#DIV/0!</v>
      </c>
      <c r="AI81" s="257" t="e">
        <f t="shared" si="48"/>
        <v>#DIV/0!</v>
      </c>
      <c r="AJ81" s="268"/>
      <c r="AK81" s="257" t="e">
        <f t="shared" si="48"/>
        <v>#DIV/0!</v>
      </c>
      <c r="AL81" s="257" t="e">
        <f t="shared" si="48"/>
        <v>#DIV/0!</v>
      </c>
      <c r="AM81" s="234"/>
      <c r="AN81" s="233"/>
      <c r="AO81" s="241" t="e">
        <f t="shared" ref="AO81" si="49">AH81+AI81+AK81+AL81</f>
        <v>#DIV/0!</v>
      </c>
      <c r="AP81" s="216">
        <v>40</v>
      </c>
      <c r="AQ81" s="201" t="e">
        <f>SUM(H81,L81,Q81,AO81)</f>
        <v>#DIV/0!</v>
      </c>
      <c r="AR81" s="212">
        <f t="shared" ref="AR81" si="50">SUM(AP81,R81,M81,I81)</f>
        <v>65</v>
      </c>
      <c r="AS81" s="195"/>
      <c r="AT81" s="155"/>
      <c r="AU81" s="156"/>
    </row>
    <row r="82" spans="1:47" ht="17.25" hidden="1" customHeight="1" x14ac:dyDescent="0.45">
      <c r="A82" s="7"/>
      <c r="B82" s="97"/>
      <c r="C82" s="346"/>
      <c r="D82" s="410"/>
      <c r="E82" s="155"/>
      <c r="F82" s="155"/>
      <c r="G82" s="155"/>
      <c r="H82" s="386"/>
      <c r="I82" s="212"/>
      <c r="J82" s="155"/>
      <c r="K82" s="155"/>
      <c r="L82" s="386"/>
      <c r="M82" s="212"/>
      <c r="N82" s="155"/>
      <c r="O82" s="155"/>
      <c r="P82" s="155"/>
      <c r="Q82" s="386"/>
      <c r="R82" s="212"/>
      <c r="S82" s="155"/>
      <c r="T82" s="155"/>
      <c r="U82" s="328"/>
      <c r="V82" s="155"/>
      <c r="W82" s="155"/>
      <c r="X82" s="346"/>
      <c r="Y82" s="328"/>
      <c r="Z82" s="328"/>
      <c r="AA82" s="302"/>
      <c r="AB82" s="302"/>
      <c r="AC82" s="326"/>
      <c r="AD82" s="302"/>
      <c r="AE82" s="310"/>
      <c r="AF82" s="272"/>
      <c r="AG82" s="296"/>
      <c r="AH82" s="257"/>
      <c r="AI82" s="257"/>
      <c r="AJ82" s="268"/>
      <c r="AK82" s="257"/>
      <c r="AL82" s="257"/>
      <c r="AM82" s="234"/>
      <c r="AN82" s="234"/>
      <c r="AO82" s="242"/>
      <c r="AP82" s="216"/>
      <c r="AQ82" s="202"/>
      <c r="AR82" s="212"/>
      <c r="AS82" s="195"/>
      <c r="AT82" s="155"/>
      <c r="AU82" s="156"/>
    </row>
    <row r="83" spans="1:47" ht="17.25" hidden="1" customHeight="1" x14ac:dyDescent="0.45">
      <c r="A83" s="7"/>
      <c r="B83" s="97"/>
      <c r="C83" s="347"/>
      <c r="D83" s="411"/>
      <c r="E83" s="155"/>
      <c r="F83" s="155"/>
      <c r="G83" s="155"/>
      <c r="H83" s="386"/>
      <c r="I83" s="212"/>
      <c r="J83" s="155"/>
      <c r="K83" s="155"/>
      <c r="L83" s="386"/>
      <c r="M83" s="212"/>
      <c r="N83" s="155"/>
      <c r="O83" s="155"/>
      <c r="P83" s="155"/>
      <c r="Q83" s="386"/>
      <c r="R83" s="212"/>
      <c r="S83" s="155"/>
      <c r="T83" s="155"/>
      <c r="U83" s="328"/>
      <c r="V83" s="155"/>
      <c r="W83" s="155"/>
      <c r="X83" s="347"/>
      <c r="Y83" s="328"/>
      <c r="Z83" s="328"/>
      <c r="AA83" s="303"/>
      <c r="AB83" s="303"/>
      <c r="AC83" s="327"/>
      <c r="AD83" s="303"/>
      <c r="AE83" s="310"/>
      <c r="AF83" s="272"/>
      <c r="AG83" s="297"/>
      <c r="AH83" s="258"/>
      <c r="AI83" s="258"/>
      <c r="AJ83" s="269"/>
      <c r="AK83" s="258"/>
      <c r="AL83" s="258"/>
      <c r="AM83" s="235"/>
      <c r="AN83" s="235"/>
      <c r="AO83" s="243"/>
      <c r="AP83" s="216"/>
      <c r="AQ83" s="203"/>
      <c r="AR83" s="212"/>
      <c r="AS83" s="195"/>
      <c r="AT83" s="155"/>
      <c r="AU83" s="156"/>
    </row>
    <row r="84" spans="1:47" ht="17.25" hidden="1" customHeight="1" x14ac:dyDescent="0.45">
      <c r="A84" s="7"/>
      <c r="B84" s="97"/>
      <c r="C84" s="345" t="s">
        <v>107</v>
      </c>
      <c r="D84" s="409" t="s">
        <v>108</v>
      </c>
      <c r="E84" s="155"/>
      <c r="F84" s="155"/>
      <c r="G84" s="155"/>
      <c r="H84" s="386">
        <f t="shared" ref="H84" si="51">SUM(E84:G86)</f>
        <v>0</v>
      </c>
      <c r="I84" s="212">
        <v>6</v>
      </c>
      <c r="J84" s="155"/>
      <c r="K84" s="155"/>
      <c r="L84" s="386">
        <f>SUM(J84:K86)</f>
        <v>0</v>
      </c>
      <c r="M84" s="212">
        <v>4</v>
      </c>
      <c r="N84" s="155"/>
      <c r="O84" s="155"/>
      <c r="P84" s="155"/>
      <c r="Q84" s="386">
        <f>SUM(N84:P86)</f>
        <v>0</v>
      </c>
      <c r="R84" s="212">
        <v>15</v>
      </c>
      <c r="S84" s="155"/>
      <c r="T84" s="155"/>
      <c r="U84" s="328"/>
      <c r="V84" s="155"/>
      <c r="W84" s="155"/>
      <c r="X84" s="345"/>
      <c r="Y84" s="328"/>
      <c r="Z84" s="328"/>
      <c r="AA84" s="302" t="e">
        <f>S84/W84</f>
        <v>#DIV/0!</v>
      </c>
      <c r="AB84" s="302" t="e">
        <f>T84/W84</f>
        <v>#DIV/0!</v>
      </c>
      <c r="AC84" s="326"/>
      <c r="AD84" s="302" t="e">
        <f>V84/W84</f>
        <v>#DIV/0!</v>
      </c>
      <c r="AE84" s="310" t="e">
        <f>X84/W84</f>
        <v>#DIV/0!</v>
      </c>
      <c r="AF84" s="272"/>
      <c r="AG84" s="295"/>
      <c r="AH84" s="257" t="e">
        <f t="shared" ref="AH84:AL84" si="52">IF(AND(AA84&gt;=10%,AA84&lt;=19%),"1",IF(AND(AA84&gt;=20%,AA84&lt;=29%),"2",IF(AND(AA84&gt;=30%,AA84&lt;=39%),"3",IF(AND(AA84&gt;=40%,AA84&lt;=49%),"4",IF(AND(AA84&gt;=50%,AA84&lt;=59%),"5",IF(AND(AA84&gt;=60%,AA84&lt;=69%),"6",IF(AND(AA84&gt;=70%,AA84&lt;=79%),"7",IF(AND(AA84&gt;=80%,AA84&lt;=89%),"8",IF(AND(AA84&gt;=90%,AA84&lt;=99%),"9",IF(AND(AA84&gt;=100%,AA84&lt;=105%),"10",IF(AND(AA84&gt;=106%),"0","0")))))))))))</f>
        <v>#DIV/0!</v>
      </c>
      <c r="AI84" s="257" t="e">
        <f t="shared" si="52"/>
        <v>#DIV/0!</v>
      </c>
      <c r="AJ84" s="268"/>
      <c r="AK84" s="257" t="e">
        <f t="shared" si="52"/>
        <v>#DIV/0!</v>
      </c>
      <c r="AL84" s="257" t="e">
        <f t="shared" si="52"/>
        <v>#DIV/0!</v>
      </c>
      <c r="AM84" s="234"/>
      <c r="AN84" s="233"/>
      <c r="AO84" s="241" t="e">
        <f>AH84+AI84+AK84+AL84</f>
        <v>#DIV/0!</v>
      </c>
      <c r="AP84" s="216">
        <v>40</v>
      </c>
      <c r="AQ84" s="201" t="e">
        <f>SUM(H84,L84,Q84,AO84)</f>
        <v>#DIV/0!</v>
      </c>
      <c r="AR84" s="212">
        <f>SUM(AP84,R84,M84,I84)</f>
        <v>65</v>
      </c>
      <c r="AS84" s="195"/>
      <c r="AT84" s="155"/>
      <c r="AU84" s="156"/>
    </row>
    <row r="85" spans="1:47" ht="17.25" hidden="1" customHeight="1" x14ac:dyDescent="0.45">
      <c r="A85" s="7"/>
      <c r="B85" s="97"/>
      <c r="C85" s="346"/>
      <c r="D85" s="410"/>
      <c r="E85" s="155"/>
      <c r="F85" s="155"/>
      <c r="G85" s="155"/>
      <c r="H85" s="386"/>
      <c r="I85" s="212"/>
      <c r="J85" s="155"/>
      <c r="K85" s="155"/>
      <c r="L85" s="386"/>
      <c r="M85" s="212"/>
      <c r="N85" s="155"/>
      <c r="O85" s="155"/>
      <c r="P85" s="155"/>
      <c r="Q85" s="386"/>
      <c r="R85" s="212"/>
      <c r="S85" s="155"/>
      <c r="T85" s="155"/>
      <c r="U85" s="328"/>
      <c r="V85" s="155"/>
      <c r="W85" s="155"/>
      <c r="X85" s="346"/>
      <c r="Y85" s="328"/>
      <c r="Z85" s="328"/>
      <c r="AA85" s="302"/>
      <c r="AB85" s="302"/>
      <c r="AC85" s="326"/>
      <c r="AD85" s="302"/>
      <c r="AE85" s="310"/>
      <c r="AF85" s="272"/>
      <c r="AG85" s="296"/>
      <c r="AH85" s="257"/>
      <c r="AI85" s="257"/>
      <c r="AJ85" s="268"/>
      <c r="AK85" s="257"/>
      <c r="AL85" s="257"/>
      <c r="AM85" s="234"/>
      <c r="AN85" s="234"/>
      <c r="AO85" s="242"/>
      <c r="AP85" s="216"/>
      <c r="AQ85" s="202"/>
      <c r="AR85" s="212"/>
      <c r="AS85" s="195"/>
      <c r="AT85" s="155"/>
      <c r="AU85" s="156"/>
    </row>
    <row r="86" spans="1:47" ht="17.25" hidden="1" customHeight="1" x14ac:dyDescent="0.45">
      <c r="A86" s="7"/>
      <c r="B86" s="97"/>
      <c r="C86" s="347"/>
      <c r="D86" s="411"/>
      <c r="E86" s="155"/>
      <c r="F86" s="155"/>
      <c r="G86" s="155"/>
      <c r="H86" s="386"/>
      <c r="I86" s="212"/>
      <c r="J86" s="155"/>
      <c r="K86" s="155"/>
      <c r="L86" s="386"/>
      <c r="M86" s="212"/>
      <c r="N86" s="155"/>
      <c r="O86" s="155"/>
      <c r="P86" s="155"/>
      <c r="Q86" s="386"/>
      <c r="R86" s="212"/>
      <c r="S86" s="155"/>
      <c r="T86" s="155"/>
      <c r="U86" s="328"/>
      <c r="V86" s="155"/>
      <c r="W86" s="155"/>
      <c r="X86" s="347"/>
      <c r="Y86" s="328"/>
      <c r="Z86" s="328"/>
      <c r="AA86" s="303"/>
      <c r="AB86" s="303"/>
      <c r="AC86" s="327"/>
      <c r="AD86" s="303"/>
      <c r="AE86" s="310"/>
      <c r="AF86" s="272"/>
      <c r="AG86" s="297"/>
      <c r="AH86" s="258"/>
      <c r="AI86" s="258"/>
      <c r="AJ86" s="269"/>
      <c r="AK86" s="258"/>
      <c r="AL86" s="258"/>
      <c r="AM86" s="235"/>
      <c r="AN86" s="235"/>
      <c r="AO86" s="243"/>
      <c r="AP86" s="216"/>
      <c r="AQ86" s="203"/>
      <c r="AR86" s="212"/>
      <c r="AS86" s="195"/>
      <c r="AT86" s="155"/>
      <c r="AU86" s="156"/>
    </row>
    <row r="87" spans="1:47" ht="17.25" hidden="1" customHeight="1" x14ac:dyDescent="0.45">
      <c r="A87" s="7"/>
      <c r="B87" s="97"/>
      <c r="C87" s="345" t="s">
        <v>109</v>
      </c>
      <c r="D87" s="412" t="s">
        <v>110</v>
      </c>
      <c r="E87" s="345"/>
      <c r="F87" s="345"/>
      <c r="G87" s="345"/>
      <c r="H87" s="386">
        <f t="shared" ref="H87" si="53">SUM(E87:G89)</f>
        <v>0</v>
      </c>
      <c r="I87" s="212">
        <v>7</v>
      </c>
      <c r="J87" s="155"/>
      <c r="K87" s="155"/>
      <c r="L87" s="386">
        <f>SUM(J87:K89)</f>
        <v>0</v>
      </c>
      <c r="M87" s="212">
        <v>4</v>
      </c>
      <c r="N87" s="155"/>
      <c r="O87" s="155"/>
      <c r="P87" s="155"/>
      <c r="Q87" s="386">
        <f>SUM(N87:P89)</f>
        <v>0</v>
      </c>
      <c r="R87" s="213">
        <v>15</v>
      </c>
      <c r="S87" s="345"/>
      <c r="T87" s="345"/>
      <c r="U87" s="345"/>
      <c r="V87" s="329"/>
      <c r="W87" s="345"/>
      <c r="X87" s="329"/>
      <c r="Y87" s="329"/>
      <c r="Z87" s="329"/>
      <c r="AA87" s="302" t="e">
        <f>S87/W87</f>
        <v>#DIV/0!</v>
      </c>
      <c r="AB87" s="302" t="e">
        <f>T87/W87</f>
        <v>#DIV/0!</v>
      </c>
      <c r="AC87" s="302" t="e">
        <f>U87/W87</f>
        <v>#DIV/0!</v>
      </c>
      <c r="AD87" s="281"/>
      <c r="AE87" s="281"/>
      <c r="AF87" s="281"/>
      <c r="AG87" s="281"/>
      <c r="AH87" s="257" t="e">
        <f t="shared" ref="AH87:AJ87" si="54">IF(AND(AA87&gt;=10%,AA87&lt;=19%),"1",IF(AND(AA87&gt;=20%,AA87&lt;=29%),"2",IF(AND(AA87&gt;=30%,AA87&lt;=39%),"3",IF(AND(AA87&gt;=40%,AA87&lt;=49%),"4",IF(AND(AA87&gt;=50%,AA87&lt;=59%),"5",IF(AND(AA87&gt;=60%,AA87&lt;=69%),"6",IF(AND(AA87&gt;=70%,AA87&lt;=79%),"7",IF(AND(AA87&gt;=80%,AA87&lt;=89%),"8",IF(AND(AA87&gt;=90%,AA87&lt;=99%),"9",IF(AND(AA87&gt;=100%,AA87&lt;=105%),"10",IF(AND(AA87&gt;=106%),"0","0")))))))))))</f>
        <v>#DIV/0!</v>
      </c>
      <c r="AI87" s="257" t="e">
        <f t="shared" si="54"/>
        <v>#DIV/0!</v>
      </c>
      <c r="AJ87" s="257" t="e">
        <f t="shared" si="54"/>
        <v>#DIV/0!</v>
      </c>
      <c r="AK87" s="233"/>
      <c r="AL87" s="233"/>
      <c r="AM87" s="233"/>
      <c r="AN87" s="233"/>
      <c r="AO87" s="241" t="e">
        <f>AH87+AI87+AJ87</f>
        <v>#DIV/0!</v>
      </c>
      <c r="AP87" s="217">
        <v>30</v>
      </c>
      <c r="AQ87" s="201" t="e">
        <f>SUM(H87,L87,Q87,AO87)</f>
        <v>#DIV/0!</v>
      </c>
      <c r="AR87" s="213">
        <v>55</v>
      </c>
      <c r="AS87" s="195"/>
      <c r="AT87" s="155"/>
      <c r="AU87" s="156"/>
    </row>
    <row r="88" spans="1:47" ht="17.25" hidden="1" customHeight="1" x14ac:dyDescent="0.45">
      <c r="A88" s="7"/>
      <c r="B88" s="97"/>
      <c r="C88" s="346"/>
      <c r="D88" s="413"/>
      <c r="E88" s="346"/>
      <c r="F88" s="346"/>
      <c r="G88" s="346"/>
      <c r="H88" s="386"/>
      <c r="I88" s="212"/>
      <c r="J88" s="155"/>
      <c r="K88" s="155"/>
      <c r="L88" s="386"/>
      <c r="M88" s="212"/>
      <c r="N88" s="155"/>
      <c r="O88" s="155"/>
      <c r="P88" s="155"/>
      <c r="Q88" s="386"/>
      <c r="R88" s="214"/>
      <c r="S88" s="346"/>
      <c r="T88" s="346"/>
      <c r="U88" s="346"/>
      <c r="V88" s="330"/>
      <c r="W88" s="346"/>
      <c r="X88" s="330"/>
      <c r="Y88" s="330"/>
      <c r="Z88" s="330"/>
      <c r="AA88" s="302"/>
      <c r="AB88" s="302"/>
      <c r="AC88" s="302"/>
      <c r="AD88" s="282"/>
      <c r="AE88" s="282"/>
      <c r="AF88" s="282"/>
      <c r="AG88" s="282"/>
      <c r="AH88" s="257"/>
      <c r="AI88" s="257"/>
      <c r="AJ88" s="257"/>
      <c r="AK88" s="234"/>
      <c r="AL88" s="234"/>
      <c r="AM88" s="234"/>
      <c r="AN88" s="234"/>
      <c r="AO88" s="242"/>
      <c r="AP88" s="218"/>
      <c r="AQ88" s="202"/>
      <c r="AR88" s="214"/>
      <c r="AS88" s="195"/>
      <c r="AT88" s="155"/>
      <c r="AU88" s="156"/>
    </row>
    <row r="89" spans="1:47" ht="17.25" hidden="1" customHeight="1" x14ac:dyDescent="0.45">
      <c r="A89" s="7"/>
      <c r="B89" s="97"/>
      <c r="C89" s="347"/>
      <c r="D89" s="414"/>
      <c r="E89" s="347"/>
      <c r="F89" s="347"/>
      <c r="G89" s="347"/>
      <c r="H89" s="386"/>
      <c r="I89" s="212"/>
      <c r="J89" s="155"/>
      <c r="K89" s="155"/>
      <c r="L89" s="386"/>
      <c r="M89" s="212"/>
      <c r="N89" s="155"/>
      <c r="O89" s="155"/>
      <c r="P89" s="155"/>
      <c r="Q89" s="386"/>
      <c r="R89" s="215"/>
      <c r="S89" s="347"/>
      <c r="T89" s="347"/>
      <c r="U89" s="347"/>
      <c r="V89" s="331"/>
      <c r="W89" s="347"/>
      <c r="X89" s="331"/>
      <c r="Y89" s="331"/>
      <c r="Z89" s="331"/>
      <c r="AA89" s="303"/>
      <c r="AB89" s="303"/>
      <c r="AC89" s="303"/>
      <c r="AD89" s="283"/>
      <c r="AE89" s="283"/>
      <c r="AF89" s="283"/>
      <c r="AG89" s="283"/>
      <c r="AH89" s="258"/>
      <c r="AI89" s="258"/>
      <c r="AJ89" s="258"/>
      <c r="AK89" s="235"/>
      <c r="AL89" s="235"/>
      <c r="AM89" s="235"/>
      <c r="AN89" s="235"/>
      <c r="AO89" s="243"/>
      <c r="AP89" s="219"/>
      <c r="AQ89" s="203"/>
      <c r="AR89" s="215"/>
      <c r="AS89" s="195"/>
      <c r="AT89" s="155"/>
      <c r="AU89" s="156"/>
    </row>
    <row r="90" spans="1:47" ht="17.25" hidden="1" customHeight="1" x14ac:dyDescent="0.45">
      <c r="A90" s="7"/>
      <c r="B90" s="97"/>
      <c r="C90" s="345" t="s">
        <v>111</v>
      </c>
      <c r="D90" s="409" t="s">
        <v>112</v>
      </c>
      <c r="E90" s="155"/>
      <c r="F90" s="155"/>
      <c r="G90" s="155"/>
      <c r="H90" s="386">
        <f t="shared" ref="H90" si="55">SUM(E90:G92)</f>
        <v>0</v>
      </c>
      <c r="I90" s="212">
        <v>6</v>
      </c>
      <c r="J90" s="155"/>
      <c r="K90" s="155"/>
      <c r="L90" s="386">
        <f>SUM(J90:K92)</f>
        <v>0</v>
      </c>
      <c r="M90" s="212">
        <v>4</v>
      </c>
      <c r="N90" s="155"/>
      <c r="O90" s="155"/>
      <c r="P90" s="155"/>
      <c r="Q90" s="386">
        <f>SUM(N90:P92)</f>
        <v>0</v>
      </c>
      <c r="R90" s="212">
        <v>15</v>
      </c>
      <c r="S90" s="155"/>
      <c r="T90" s="155"/>
      <c r="U90" s="328"/>
      <c r="V90" s="155"/>
      <c r="W90" s="155"/>
      <c r="X90" s="329"/>
      <c r="Y90" s="328"/>
      <c r="Z90" s="328"/>
      <c r="AA90" s="302" t="e">
        <f>S90/W90</f>
        <v>#DIV/0!</v>
      </c>
      <c r="AB90" s="302" t="e">
        <f>T90/W90</f>
        <v>#DIV/0!</v>
      </c>
      <c r="AC90" s="281"/>
      <c r="AD90" s="302" t="e">
        <f>V90/W90</f>
        <v>#DIV/0!</v>
      </c>
      <c r="AE90" s="311"/>
      <c r="AF90" s="272"/>
      <c r="AG90" s="295"/>
      <c r="AH90" s="257" t="e">
        <f t="shared" ref="AH90:AK90" si="56">IF(AND(AA90&gt;=10%,AA90&lt;=19%),"1",IF(AND(AA90&gt;=20%,AA90&lt;=29%),"2",IF(AND(AA90&gt;=30%,AA90&lt;=39%),"3",IF(AND(AA90&gt;=40%,AA90&lt;=49%),"4",IF(AND(AA90&gt;=50%,AA90&lt;=59%),"5",IF(AND(AA90&gt;=60%,AA90&lt;=69%),"6",IF(AND(AA90&gt;=70%,AA90&lt;=79%),"7",IF(AND(AA90&gt;=80%,AA90&lt;=89%),"8",IF(AND(AA90&gt;=90%,AA90&lt;=99%),"9",IF(AND(AA90&gt;=100%,AA90&lt;=105%),"10",IF(AND(AA90&gt;=106%),"0","0")))))))))))</f>
        <v>#DIV/0!</v>
      </c>
      <c r="AI90" s="257" t="e">
        <f t="shared" si="56"/>
        <v>#DIV/0!</v>
      </c>
      <c r="AJ90" s="233"/>
      <c r="AK90" s="257" t="e">
        <f t="shared" si="56"/>
        <v>#DIV/0!</v>
      </c>
      <c r="AL90" s="234"/>
      <c r="AM90" s="233"/>
      <c r="AN90" s="233"/>
      <c r="AO90" s="241" t="e">
        <f>AH90+AI90+AK90</f>
        <v>#DIV/0!</v>
      </c>
      <c r="AP90" s="216">
        <v>30</v>
      </c>
      <c r="AQ90" s="201" t="e">
        <f>SUM(H90,L90,Q90,AO90)</f>
        <v>#DIV/0!</v>
      </c>
      <c r="AR90" s="212">
        <f t="shared" ref="AR90" si="57">SUM(AP90,R90,M90,I90)</f>
        <v>55</v>
      </c>
      <c r="AS90" s="195"/>
      <c r="AT90" s="155"/>
      <c r="AU90" s="156"/>
    </row>
    <row r="91" spans="1:47" ht="17.25" hidden="1" customHeight="1" x14ac:dyDescent="0.45">
      <c r="A91" s="7"/>
      <c r="B91" s="97"/>
      <c r="C91" s="346"/>
      <c r="D91" s="410"/>
      <c r="E91" s="155"/>
      <c r="F91" s="155"/>
      <c r="G91" s="155"/>
      <c r="H91" s="386"/>
      <c r="I91" s="212"/>
      <c r="J91" s="155"/>
      <c r="K91" s="155"/>
      <c r="L91" s="386"/>
      <c r="M91" s="212"/>
      <c r="N91" s="155"/>
      <c r="O91" s="155"/>
      <c r="P91" s="155"/>
      <c r="Q91" s="386"/>
      <c r="R91" s="212"/>
      <c r="S91" s="155"/>
      <c r="T91" s="155"/>
      <c r="U91" s="328"/>
      <c r="V91" s="155"/>
      <c r="W91" s="155"/>
      <c r="X91" s="330"/>
      <c r="Y91" s="328"/>
      <c r="Z91" s="328"/>
      <c r="AA91" s="302"/>
      <c r="AB91" s="302"/>
      <c r="AC91" s="282"/>
      <c r="AD91" s="302"/>
      <c r="AE91" s="311"/>
      <c r="AF91" s="272"/>
      <c r="AG91" s="296"/>
      <c r="AH91" s="257"/>
      <c r="AI91" s="257"/>
      <c r="AJ91" s="234"/>
      <c r="AK91" s="257"/>
      <c r="AL91" s="234"/>
      <c r="AM91" s="234"/>
      <c r="AN91" s="234"/>
      <c r="AO91" s="242"/>
      <c r="AP91" s="216"/>
      <c r="AQ91" s="202"/>
      <c r="AR91" s="212"/>
      <c r="AS91" s="195"/>
      <c r="AT91" s="155"/>
      <c r="AU91" s="156"/>
    </row>
    <row r="92" spans="1:47" ht="15.7" hidden="1" customHeight="1" x14ac:dyDescent="0.45">
      <c r="A92" s="7"/>
      <c r="B92" s="97"/>
      <c r="C92" s="347"/>
      <c r="D92" s="411"/>
      <c r="E92" s="155"/>
      <c r="F92" s="155"/>
      <c r="G92" s="155"/>
      <c r="H92" s="386"/>
      <c r="I92" s="212"/>
      <c r="J92" s="155"/>
      <c r="K92" s="155"/>
      <c r="L92" s="386"/>
      <c r="M92" s="212"/>
      <c r="N92" s="155"/>
      <c r="O92" s="155"/>
      <c r="P92" s="155"/>
      <c r="Q92" s="386"/>
      <c r="R92" s="212"/>
      <c r="S92" s="155"/>
      <c r="T92" s="155"/>
      <c r="U92" s="328"/>
      <c r="V92" s="155"/>
      <c r="W92" s="155"/>
      <c r="X92" s="331"/>
      <c r="Y92" s="328"/>
      <c r="Z92" s="328"/>
      <c r="AA92" s="303"/>
      <c r="AB92" s="303"/>
      <c r="AC92" s="283"/>
      <c r="AD92" s="303"/>
      <c r="AE92" s="311"/>
      <c r="AF92" s="272"/>
      <c r="AG92" s="297"/>
      <c r="AH92" s="258"/>
      <c r="AI92" s="258"/>
      <c r="AJ92" s="235"/>
      <c r="AK92" s="258"/>
      <c r="AL92" s="235"/>
      <c r="AM92" s="235"/>
      <c r="AN92" s="235"/>
      <c r="AO92" s="243"/>
      <c r="AP92" s="216"/>
      <c r="AQ92" s="203"/>
      <c r="AR92" s="212"/>
      <c r="AS92" s="195"/>
      <c r="AT92" s="155"/>
      <c r="AU92" s="156"/>
    </row>
    <row r="93" spans="1:47" ht="15.7" hidden="1" customHeight="1" x14ac:dyDescent="0.45">
      <c r="A93" s="7"/>
      <c r="B93" s="97"/>
      <c r="C93" s="345" t="s">
        <v>113</v>
      </c>
      <c r="D93" s="409" t="s">
        <v>114</v>
      </c>
      <c r="E93" s="155"/>
      <c r="F93" s="155"/>
      <c r="G93" s="155"/>
      <c r="H93" s="386">
        <f t="shared" ref="H93" si="58">SUM(E93:G95)</f>
        <v>0</v>
      </c>
      <c r="I93" s="212">
        <v>6</v>
      </c>
      <c r="J93" s="155"/>
      <c r="K93" s="155"/>
      <c r="L93" s="386">
        <f>SUM(J93:K95)</f>
        <v>0</v>
      </c>
      <c r="M93" s="212">
        <v>4</v>
      </c>
      <c r="N93" s="155"/>
      <c r="O93" s="155"/>
      <c r="P93" s="155"/>
      <c r="Q93" s="386">
        <f>SUM(N93:P95)</f>
        <v>0</v>
      </c>
      <c r="R93" s="212">
        <v>15</v>
      </c>
      <c r="S93" s="155"/>
      <c r="T93" s="155"/>
      <c r="U93" s="328"/>
      <c r="V93" s="155"/>
      <c r="W93" s="155"/>
      <c r="X93" s="329"/>
      <c r="Y93" s="329"/>
      <c r="Z93" s="328"/>
      <c r="AA93" s="302" t="e">
        <f>S93/W93</f>
        <v>#DIV/0!</v>
      </c>
      <c r="AB93" s="302" t="e">
        <f>T93/W93</f>
        <v>#DIV/0!</v>
      </c>
      <c r="AC93" s="282"/>
      <c r="AD93" s="302" t="e">
        <f>V93/W93</f>
        <v>#DIV/0!</v>
      </c>
      <c r="AE93" s="311"/>
      <c r="AF93" s="272"/>
      <c r="AG93" s="295"/>
      <c r="AH93" s="257" t="e">
        <f t="shared" ref="AH93:AK93" si="59">IF(AND(AA93&gt;=10%,AA93&lt;=19%),"1",IF(AND(AA93&gt;=20%,AA93&lt;=29%),"2",IF(AND(AA93&gt;=30%,AA93&lt;=39%),"3",IF(AND(AA93&gt;=40%,AA93&lt;=49%),"4",IF(AND(AA93&gt;=50%,AA93&lt;=59%),"5",IF(AND(AA93&gt;=60%,AA93&lt;=69%),"6",IF(AND(AA93&gt;=70%,AA93&lt;=79%),"7",IF(AND(AA93&gt;=80%,AA93&lt;=89%),"8",IF(AND(AA93&gt;=90%,AA93&lt;=99%),"9",IF(AND(AA93&gt;=100%,AA93&lt;=105%),"10",IF(AND(AA93&gt;=106%),"0","0")))))))))))</f>
        <v>#DIV/0!</v>
      </c>
      <c r="AI93" s="257" t="e">
        <f t="shared" si="59"/>
        <v>#DIV/0!</v>
      </c>
      <c r="AJ93" s="234"/>
      <c r="AK93" s="257" t="e">
        <f t="shared" si="59"/>
        <v>#DIV/0!</v>
      </c>
      <c r="AL93" s="234"/>
      <c r="AM93" s="234"/>
      <c r="AN93" s="233"/>
      <c r="AO93" s="241" t="e">
        <f>AH93+AI93+AK93</f>
        <v>#DIV/0!</v>
      </c>
      <c r="AP93" s="216">
        <v>30</v>
      </c>
      <c r="AQ93" s="201" t="e">
        <f>SUM(H93,L93,Q93,AO93)</f>
        <v>#DIV/0!</v>
      </c>
      <c r="AR93" s="212">
        <f t="shared" ref="AR93" si="60">SUM(AP93,R93,M93,I93)</f>
        <v>55</v>
      </c>
      <c r="AS93" s="195"/>
      <c r="AT93" s="155"/>
      <c r="AU93" s="156"/>
    </row>
    <row r="94" spans="1:47" ht="15.7" hidden="1" customHeight="1" x14ac:dyDescent="0.45">
      <c r="A94" s="7"/>
      <c r="B94" s="97"/>
      <c r="C94" s="346"/>
      <c r="D94" s="410"/>
      <c r="E94" s="155"/>
      <c r="F94" s="155"/>
      <c r="G94" s="155"/>
      <c r="H94" s="386"/>
      <c r="I94" s="212"/>
      <c r="J94" s="155"/>
      <c r="K94" s="155"/>
      <c r="L94" s="386"/>
      <c r="M94" s="212"/>
      <c r="N94" s="155"/>
      <c r="O94" s="155"/>
      <c r="P94" s="155"/>
      <c r="Q94" s="386"/>
      <c r="R94" s="212"/>
      <c r="S94" s="155"/>
      <c r="T94" s="155"/>
      <c r="U94" s="328"/>
      <c r="V94" s="155"/>
      <c r="W94" s="155"/>
      <c r="X94" s="330"/>
      <c r="Y94" s="330"/>
      <c r="Z94" s="328"/>
      <c r="AA94" s="302"/>
      <c r="AB94" s="302"/>
      <c r="AC94" s="282"/>
      <c r="AD94" s="302"/>
      <c r="AE94" s="311"/>
      <c r="AF94" s="272"/>
      <c r="AG94" s="296"/>
      <c r="AH94" s="257"/>
      <c r="AI94" s="257"/>
      <c r="AJ94" s="234"/>
      <c r="AK94" s="257"/>
      <c r="AL94" s="234"/>
      <c r="AM94" s="234"/>
      <c r="AN94" s="234"/>
      <c r="AO94" s="242"/>
      <c r="AP94" s="216"/>
      <c r="AQ94" s="202"/>
      <c r="AR94" s="212"/>
      <c r="AS94" s="195"/>
      <c r="AT94" s="155"/>
      <c r="AU94" s="156"/>
    </row>
    <row r="95" spans="1:47" ht="15.7" hidden="1" customHeight="1" x14ac:dyDescent="0.45">
      <c r="A95" s="7"/>
      <c r="B95" s="97"/>
      <c r="C95" s="347"/>
      <c r="D95" s="411"/>
      <c r="E95" s="155"/>
      <c r="F95" s="155"/>
      <c r="G95" s="155"/>
      <c r="H95" s="386"/>
      <c r="I95" s="212"/>
      <c r="J95" s="155"/>
      <c r="K95" s="155"/>
      <c r="L95" s="386"/>
      <c r="M95" s="212"/>
      <c r="N95" s="155"/>
      <c r="O95" s="155"/>
      <c r="P95" s="155"/>
      <c r="Q95" s="386"/>
      <c r="R95" s="212"/>
      <c r="S95" s="155"/>
      <c r="T95" s="155"/>
      <c r="U95" s="328"/>
      <c r="V95" s="155"/>
      <c r="W95" s="155"/>
      <c r="X95" s="331"/>
      <c r="Y95" s="331"/>
      <c r="Z95" s="328"/>
      <c r="AA95" s="303"/>
      <c r="AB95" s="303"/>
      <c r="AC95" s="283"/>
      <c r="AD95" s="303"/>
      <c r="AE95" s="311"/>
      <c r="AF95" s="272"/>
      <c r="AG95" s="297"/>
      <c r="AH95" s="258"/>
      <c r="AI95" s="258"/>
      <c r="AJ95" s="235"/>
      <c r="AK95" s="258"/>
      <c r="AL95" s="235"/>
      <c r="AM95" s="235"/>
      <c r="AN95" s="235"/>
      <c r="AO95" s="243"/>
      <c r="AP95" s="216"/>
      <c r="AQ95" s="203"/>
      <c r="AR95" s="212"/>
      <c r="AS95" s="195"/>
      <c r="AT95" s="155"/>
      <c r="AU95" s="156"/>
    </row>
    <row r="96" spans="1:47" s="2" customFormat="1" ht="39.75" customHeight="1" thickBot="1" x14ac:dyDescent="0.5">
      <c r="A96" s="19"/>
      <c r="B96" s="8"/>
      <c r="C96" s="99"/>
      <c r="D96" s="98"/>
      <c r="E96" s="100"/>
      <c r="F96" s="100"/>
      <c r="G96" s="100"/>
      <c r="H96" s="101">
        <f>SUM(H75:H95)</f>
        <v>12</v>
      </c>
      <c r="I96" s="101">
        <f>SUM(I75:I80)</f>
        <v>12</v>
      </c>
      <c r="J96" s="100"/>
      <c r="K96" s="100"/>
      <c r="L96" s="101">
        <f>SUM(L75:L95)</f>
        <v>8</v>
      </c>
      <c r="M96" s="101">
        <f>SUM(M75:M80)</f>
        <v>8</v>
      </c>
      <c r="N96" s="100"/>
      <c r="O96" s="100"/>
      <c r="P96" s="100"/>
      <c r="Q96" s="101">
        <f>SUM(Q75:Q95)</f>
        <v>30</v>
      </c>
      <c r="R96" s="101">
        <f>SUM(R75:R80)</f>
        <v>30</v>
      </c>
      <c r="S96" s="100"/>
      <c r="T96" s="100"/>
      <c r="U96" s="100"/>
      <c r="V96" s="100"/>
      <c r="W96" s="100"/>
      <c r="X96" s="100"/>
      <c r="Y96" s="100"/>
      <c r="Z96" s="100"/>
      <c r="AA96" s="129"/>
      <c r="AB96" s="129"/>
      <c r="AC96" s="129"/>
      <c r="AD96" s="129"/>
      <c r="AE96" s="129"/>
      <c r="AF96" s="129"/>
      <c r="AG96" s="129"/>
      <c r="AH96" s="129"/>
      <c r="AI96" s="129"/>
      <c r="AJ96" s="129"/>
      <c r="AK96" s="129"/>
      <c r="AL96" s="129"/>
      <c r="AM96" s="129"/>
      <c r="AN96" s="129"/>
      <c r="AO96" s="129">
        <f>AO78+AO75</f>
        <v>80</v>
      </c>
      <c r="AP96" s="129">
        <f>AP75+AP78</f>
        <v>80</v>
      </c>
      <c r="AQ96" s="152">
        <f>AQ75+AQ78</f>
        <v>130</v>
      </c>
      <c r="AR96" s="129">
        <f>SUM(AR75:AR80)</f>
        <v>130</v>
      </c>
      <c r="AS96" s="139"/>
      <c r="AT96" s="139"/>
      <c r="AU96" s="156"/>
    </row>
    <row r="97" spans="1:47" s="2" customFormat="1" ht="27" thickBot="1" x14ac:dyDescent="0.5">
      <c r="A97" s="19"/>
      <c r="B97" s="8"/>
      <c r="C97" s="102"/>
      <c r="D97" s="96" t="s">
        <v>115</v>
      </c>
      <c r="E97" s="103"/>
      <c r="F97" s="103"/>
      <c r="G97" s="103"/>
      <c r="H97" s="35">
        <f>SUM(H96+H74+H61)</f>
        <v>180</v>
      </c>
      <c r="I97" s="35">
        <f>SUM(I96+I74+I61)</f>
        <v>180</v>
      </c>
      <c r="J97" s="116">
        <f>H97/I97</f>
        <v>1</v>
      </c>
      <c r="K97" s="96"/>
      <c r="L97" s="35">
        <f>SUM(L96+L74+L61)</f>
        <v>120</v>
      </c>
      <c r="M97" s="35">
        <f>SUM(M96+M74+M61)</f>
        <v>120</v>
      </c>
      <c r="N97" s="116">
        <f>L97/M97</f>
        <v>1</v>
      </c>
      <c r="O97" s="96"/>
      <c r="P97" s="96"/>
      <c r="Q97" s="35">
        <f>SUM(Q96+Q74+Q61)</f>
        <v>450</v>
      </c>
      <c r="R97" s="35">
        <f>SUM(R96+R74+R61)</f>
        <v>450</v>
      </c>
      <c r="S97" s="116">
        <f>Q97/R97</f>
        <v>1</v>
      </c>
      <c r="T97" s="96"/>
      <c r="U97" s="96"/>
      <c r="V97" s="96"/>
      <c r="W97" s="96"/>
      <c r="X97" s="96"/>
      <c r="Y97" s="96"/>
      <c r="Z97" s="96"/>
      <c r="AA97" s="96"/>
      <c r="AB97" s="96"/>
      <c r="AC97" s="96"/>
      <c r="AD97" s="96"/>
      <c r="AE97" s="96"/>
      <c r="AF97" s="96"/>
      <c r="AG97" s="96"/>
      <c r="AH97" s="96"/>
      <c r="AI97" s="96"/>
      <c r="AJ97" s="96"/>
      <c r="AK97" s="96"/>
      <c r="AL97" s="96"/>
      <c r="AM97" s="116">
        <f>AO97/AP97</f>
        <v>0.91544715447154468</v>
      </c>
      <c r="AN97" s="134"/>
      <c r="AO97" s="35">
        <f>SUM(AO96+AO74+AO61)</f>
        <v>1126</v>
      </c>
      <c r="AP97" s="35">
        <f>SUM(AP96+AP74+AP61)</f>
        <v>1230</v>
      </c>
      <c r="AQ97" s="85">
        <f>SUM(AQ96+AQ74+AQ61)</f>
        <v>1876</v>
      </c>
      <c r="AR97" s="35">
        <f>SUM(AR96+AR74+AR61)</f>
        <v>1980</v>
      </c>
      <c r="AS97" s="140">
        <f>AQ97/AR97</f>
        <v>0.94747474747474747</v>
      </c>
      <c r="AT97" s="141"/>
      <c r="AU97" s="156"/>
    </row>
    <row r="98" spans="1:47" ht="21" x14ac:dyDescent="0.45">
      <c r="A98" s="7"/>
      <c r="B98" s="97"/>
      <c r="C98" s="436"/>
      <c r="D98" s="437"/>
      <c r="E98" s="437"/>
      <c r="F98" s="437"/>
      <c r="G98" s="437"/>
      <c r="H98" s="437"/>
      <c r="I98" s="437"/>
      <c r="J98" s="437"/>
      <c r="K98" s="437"/>
      <c r="L98" s="437"/>
      <c r="M98" s="437"/>
      <c r="N98" s="437"/>
      <c r="O98" s="437"/>
      <c r="P98" s="437"/>
      <c r="Q98" s="437"/>
      <c r="R98" s="437"/>
      <c r="S98" s="437"/>
      <c r="T98" s="437"/>
      <c r="U98" s="437"/>
      <c r="V98" s="437"/>
      <c r="W98" s="437"/>
      <c r="X98" s="437"/>
      <c r="Y98" s="437"/>
      <c r="Z98" s="437"/>
      <c r="AA98" s="437"/>
      <c r="AB98" s="437"/>
      <c r="AC98" s="437"/>
      <c r="AD98" s="437"/>
      <c r="AE98" s="437"/>
      <c r="AF98" s="437"/>
      <c r="AG98" s="437"/>
      <c r="AH98" s="437"/>
      <c r="AI98" s="437"/>
      <c r="AJ98" s="437"/>
      <c r="AK98" s="437"/>
      <c r="AL98" s="437"/>
      <c r="AM98" s="437"/>
      <c r="AN98" s="437"/>
      <c r="AO98" s="437"/>
      <c r="AP98" s="437"/>
      <c r="AQ98" s="437"/>
      <c r="AR98" s="437"/>
      <c r="AS98" s="437"/>
      <c r="AT98" s="437"/>
      <c r="AU98" s="156"/>
    </row>
    <row r="99" spans="1:47" x14ac:dyDescent="0.45">
      <c r="B99" s="104"/>
      <c r="C99" s="105"/>
      <c r="D99" s="106"/>
      <c r="E99" s="105"/>
      <c r="F99" s="105"/>
      <c r="G99" s="105"/>
      <c r="H99" s="105"/>
      <c r="I99" s="105"/>
      <c r="J99" s="105"/>
      <c r="K99" s="105"/>
      <c r="L99" s="105"/>
      <c r="M99" s="105"/>
      <c r="N99" s="105"/>
      <c r="O99" s="105"/>
      <c r="P99" s="105"/>
      <c r="Q99" s="105"/>
      <c r="R99" s="105"/>
      <c r="S99" s="105"/>
      <c r="T99" s="105"/>
      <c r="U99" s="105"/>
      <c r="V99" s="105"/>
      <c r="W99" s="105"/>
      <c r="X99" s="105"/>
      <c r="Y99" s="105"/>
      <c r="Z99" s="105"/>
      <c r="AA99" s="105"/>
      <c r="AB99" s="105"/>
      <c r="AC99" s="105"/>
      <c r="AD99" s="105"/>
      <c r="AE99" s="105"/>
      <c r="AF99" s="105"/>
      <c r="AG99" s="105"/>
      <c r="AH99" s="105"/>
      <c r="AI99" s="105"/>
      <c r="AJ99" s="105"/>
      <c r="AK99" s="105"/>
      <c r="AL99" s="105"/>
      <c r="AM99" s="105"/>
      <c r="AN99" s="105"/>
      <c r="AO99" s="105"/>
      <c r="AP99" s="105"/>
      <c r="AQ99" s="105"/>
      <c r="AR99" s="105"/>
      <c r="AS99" s="105"/>
      <c r="AT99" s="105"/>
      <c r="AU99" s="142"/>
    </row>
    <row r="100" spans="1:47" ht="36.75" customHeight="1" x14ac:dyDescent="0.9">
      <c r="B100" s="438" t="s">
        <v>180</v>
      </c>
      <c r="C100" s="439"/>
      <c r="D100" s="439"/>
      <c r="E100" s="439"/>
      <c r="F100" s="439"/>
      <c r="G100" s="439"/>
      <c r="H100" s="439"/>
      <c r="I100" s="439"/>
      <c r="J100" s="439"/>
      <c r="K100" s="439"/>
      <c r="L100" s="439"/>
      <c r="M100" s="439"/>
      <c r="N100" s="439"/>
      <c r="O100" s="439"/>
      <c r="P100" s="439"/>
      <c r="Q100" s="439"/>
      <c r="R100" s="439"/>
      <c r="S100" s="439"/>
      <c r="T100" s="439"/>
      <c r="U100" s="439"/>
      <c r="V100" s="439"/>
      <c r="W100" s="439"/>
      <c r="X100" s="439"/>
      <c r="Y100" s="439"/>
      <c r="Z100" s="439"/>
      <c r="AA100" s="439"/>
      <c r="AB100" s="439"/>
      <c r="AC100" s="439"/>
      <c r="AD100" s="439"/>
      <c r="AE100" s="439"/>
      <c r="AF100" s="439"/>
      <c r="AG100" s="439"/>
      <c r="AH100" s="439"/>
      <c r="AI100" s="439"/>
      <c r="AJ100" s="439"/>
      <c r="AK100" s="439"/>
      <c r="AL100" s="439"/>
      <c r="AM100" s="439"/>
      <c r="AN100" s="439"/>
      <c r="AO100" s="439"/>
      <c r="AU100" s="143"/>
    </row>
    <row r="101" spans="1:47" ht="45" customHeight="1" x14ac:dyDescent="0.9">
      <c r="B101" s="107" t="s">
        <v>116</v>
      </c>
      <c r="C101" s="108"/>
      <c r="D101" s="109"/>
      <c r="E101" s="108"/>
      <c r="F101" s="108"/>
      <c r="G101" s="108"/>
      <c r="H101" s="108"/>
      <c r="I101" s="108"/>
      <c r="J101" s="108"/>
      <c r="K101" s="117"/>
      <c r="L101" s="117"/>
      <c r="M101" s="117"/>
      <c r="N101" s="117"/>
      <c r="O101" s="117"/>
      <c r="P101" s="117"/>
      <c r="Q101" s="117"/>
      <c r="R101" s="117"/>
      <c r="S101" s="117"/>
      <c r="T101" s="117"/>
      <c r="U101" s="117"/>
      <c r="V101" s="117"/>
      <c r="W101" s="117"/>
      <c r="X101" s="117"/>
      <c r="Y101" s="117"/>
      <c r="Z101" s="117"/>
      <c r="AA101" s="117"/>
      <c r="AB101" s="117"/>
      <c r="AC101" s="117"/>
      <c r="AD101" s="117"/>
      <c r="AE101" s="130"/>
      <c r="AF101" s="130"/>
      <c r="AG101" s="130"/>
      <c r="AH101" s="117"/>
      <c r="AI101" s="117"/>
      <c r="AJ101" s="117"/>
      <c r="AK101" s="117"/>
      <c r="AL101" s="117"/>
      <c r="AM101" s="117"/>
      <c r="AN101" s="117"/>
      <c r="AO101" s="117"/>
      <c r="AP101" s="130"/>
      <c r="AQ101" s="130"/>
      <c r="AR101" s="130"/>
      <c r="AS101" s="130"/>
      <c r="AT101" s="130"/>
      <c r="AU101" s="144"/>
    </row>
    <row r="102" spans="1:47" x14ac:dyDescent="0.45">
      <c r="B102" s="110"/>
    </row>
    <row r="103" spans="1:47" x14ac:dyDescent="0.45">
      <c r="B103" s="110"/>
    </row>
    <row r="104" spans="1:47" x14ac:dyDescent="0.45">
      <c r="B104" s="110"/>
    </row>
    <row r="105" spans="1:47" x14ac:dyDescent="0.45">
      <c r="B105" s="110"/>
    </row>
    <row r="106" spans="1:47" x14ac:dyDescent="0.45">
      <c r="B106" s="110"/>
    </row>
    <row r="107" spans="1:47" x14ac:dyDescent="0.45">
      <c r="B107" s="110"/>
    </row>
    <row r="108" spans="1:47" x14ac:dyDescent="0.45">
      <c r="B108" s="110"/>
    </row>
    <row r="109" spans="1:47" x14ac:dyDescent="0.45">
      <c r="B109" s="110"/>
    </row>
    <row r="110" spans="1:47" x14ac:dyDescent="0.45">
      <c r="B110" s="110"/>
    </row>
    <row r="111" spans="1:47" x14ac:dyDescent="0.45">
      <c r="B111" s="110"/>
    </row>
    <row r="112" spans="1:47" x14ac:dyDescent="0.45">
      <c r="B112" s="110"/>
    </row>
    <row r="113" spans="2:2" x14ac:dyDescent="0.45">
      <c r="B113" s="110"/>
    </row>
    <row r="114" spans="2:2" x14ac:dyDescent="0.45">
      <c r="B114" s="110"/>
    </row>
    <row r="115" spans="2:2" x14ac:dyDescent="0.45">
      <c r="B115" s="110"/>
    </row>
    <row r="116" spans="2:2" x14ac:dyDescent="0.45">
      <c r="B116" s="110"/>
    </row>
    <row r="117" spans="2:2" x14ac:dyDescent="0.45">
      <c r="B117" s="110"/>
    </row>
    <row r="118" spans="2:2" x14ac:dyDescent="0.45">
      <c r="B118" s="110"/>
    </row>
    <row r="119" spans="2:2" x14ac:dyDescent="0.45">
      <c r="B119" s="110"/>
    </row>
    <row r="120" spans="2:2" x14ac:dyDescent="0.45">
      <c r="B120" s="110"/>
    </row>
    <row r="121" spans="2:2" x14ac:dyDescent="0.45">
      <c r="B121" s="110"/>
    </row>
    <row r="122" spans="2:2" x14ac:dyDescent="0.45">
      <c r="B122" s="110"/>
    </row>
    <row r="123" spans="2:2" x14ac:dyDescent="0.45">
      <c r="B123" s="110"/>
    </row>
    <row r="124" spans="2:2" x14ac:dyDescent="0.45">
      <c r="B124" s="110"/>
    </row>
    <row r="125" spans="2:2" x14ac:dyDescent="0.45">
      <c r="B125" s="110"/>
    </row>
    <row r="126" spans="2:2" x14ac:dyDescent="0.45">
      <c r="B126" s="110"/>
    </row>
    <row r="127" spans="2:2" x14ac:dyDescent="0.45">
      <c r="B127" s="110"/>
    </row>
    <row r="128" spans="2:2" x14ac:dyDescent="0.45">
      <c r="B128" s="110"/>
    </row>
    <row r="129" spans="2:2" x14ac:dyDescent="0.45">
      <c r="B129" s="110"/>
    </row>
    <row r="130" spans="2:2" x14ac:dyDescent="0.45">
      <c r="B130" s="110"/>
    </row>
    <row r="131" spans="2:2" x14ac:dyDescent="0.45">
      <c r="B131" s="110"/>
    </row>
    <row r="132" spans="2:2" x14ac:dyDescent="0.45">
      <c r="B132" s="110"/>
    </row>
    <row r="133" spans="2:2" x14ac:dyDescent="0.45">
      <c r="B133" s="110"/>
    </row>
    <row r="134" spans="2:2" x14ac:dyDescent="0.45">
      <c r="B134" s="110"/>
    </row>
    <row r="135" spans="2:2" x14ac:dyDescent="0.45">
      <c r="B135" s="110"/>
    </row>
    <row r="136" spans="2:2" x14ac:dyDescent="0.45">
      <c r="B136" s="110"/>
    </row>
    <row r="137" spans="2:2" x14ac:dyDescent="0.45">
      <c r="B137" s="110"/>
    </row>
    <row r="138" spans="2:2" x14ac:dyDescent="0.45">
      <c r="B138" s="110"/>
    </row>
    <row r="139" spans="2:2" x14ac:dyDescent="0.45">
      <c r="B139" s="110"/>
    </row>
    <row r="140" spans="2:2" x14ac:dyDescent="0.45">
      <c r="B140" s="110"/>
    </row>
    <row r="141" spans="2:2" x14ac:dyDescent="0.45">
      <c r="B141" s="110"/>
    </row>
    <row r="142" spans="2:2" x14ac:dyDescent="0.45">
      <c r="B142" s="110"/>
    </row>
    <row r="143" spans="2:2" x14ac:dyDescent="0.45">
      <c r="B143" s="110"/>
    </row>
    <row r="144" spans="2:2" x14ac:dyDescent="0.45">
      <c r="B144" s="110"/>
    </row>
    <row r="145" spans="2:2" x14ac:dyDescent="0.45">
      <c r="B145" s="110"/>
    </row>
    <row r="146" spans="2:2" x14ac:dyDescent="0.45">
      <c r="B146" s="110"/>
    </row>
    <row r="147" spans="2:2" x14ac:dyDescent="0.45">
      <c r="B147" s="110"/>
    </row>
    <row r="148" spans="2:2" x14ac:dyDescent="0.45">
      <c r="B148" s="110"/>
    </row>
    <row r="149" spans="2:2" x14ac:dyDescent="0.45">
      <c r="B149" s="110"/>
    </row>
    <row r="150" spans="2:2" x14ac:dyDescent="0.45">
      <c r="B150" s="110"/>
    </row>
    <row r="151" spans="2:2" x14ac:dyDescent="0.45">
      <c r="B151" s="110"/>
    </row>
    <row r="152" spans="2:2" x14ac:dyDescent="0.45">
      <c r="B152" s="110"/>
    </row>
    <row r="153" spans="2:2" x14ac:dyDescent="0.45">
      <c r="B153" s="110"/>
    </row>
    <row r="154" spans="2:2" x14ac:dyDescent="0.45">
      <c r="B154" s="110"/>
    </row>
    <row r="155" spans="2:2" x14ac:dyDescent="0.45">
      <c r="B155" s="110"/>
    </row>
    <row r="156" spans="2:2" x14ac:dyDescent="0.45">
      <c r="B156" s="110"/>
    </row>
    <row r="157" spans="2:2" x14ac:dyDescent="0.45">
      <c r="B157" s="110"/>
    </row>
    <row r="158" spans="2:2" x14ac:dyDescent="0.45">
      <c r="B158" s="110"/>
    </row>
    <row r="159" spans="2:2" x14ac:dyDescent="0.45">
      <c r="B159" s="110"/>
    </row>
    <row r="160" spans="2:2" x14ac:dyDescent="0.45">
      <c r="B160" s="110"/>
    </row>
    <row r="161" spans="2:2" x14ac:dyDescent="0.45">
      <c r="B161" s="110"/>
    </row>
  </sheetData>
  <sheetProtection formatCells="0" formatColumns="0" formatRows="0" sort="0" autoFilter="0"/>
  <mergeCells count="1112">
    <mergeCell ref="C3:AT3"/>
    <mergeCell ref="C4:D4"/>
    <mergeCell ref="E4:I4"/>
    <mergeCell ref="J4:M4"/>
    <mergeCell ref="N4:R4"/>
    <mergeCell ref="S4:U4"/>
    <mergeCell ref="V4:Z4"/>
    <mergeCell ref="AA4:AD4"/>
    <mergeCell ref="AE4:AI4"/>
    <mergeCell ref="AJ4:AO4"/>
    <mergeCell ref="AP4:AT4"/>
    <mergeCell ref="S5:AP5"/>
    <mergeCell ref="S74:AM74"/>
    <mergeCell ref="C98:AT98"/>
    <mergeCell ref="B100:AO100"/>
    <mergeCell ref="B4:B76"/>
    <mergeCell ref="C8:C10"/>
    <mergeCell ref="C11:C13"/>
    <mergeCell ref="C14:C16"/>
    <mergeCell ref="C17:C19"/>
    <mergeCell ref="C20:C23"/>
    <mergeCell ref="C24:C26"/>
    <mergeCell ref="C27:C29"/>
    <mergeCell ref="C30:C32"/>
    <mergeCell ref="C33:C35"/>
    <mergeCell ref="C36:C38"/>
    <mergeCell ref="C39:C41"/>
    <mergeCell ref="C42:C44"/>
    <mergeCell ref="C46:C48"/>
    <mergeCell ref="C49:C51"/>
    <mergeCell ref="C52:C54"/>
    <mergeCell ref="C55:C57"/>
    <mergeCell ref="C58:C60"/>
    <mergeCell ref="C63:C65"/>
    <mergeCell ref="C66:C68"/>
    <mergeCell ref="C69:C73"/>
    <mergeCell ref="C75:C77"/>
    <mergeCell ref="C78:C80"/>
    <mergeCell ref="C81:C83"/>
    <mergeCell ref="C84:C86"/>
    <mergeCell ref="C87:C89"/>
    <mergeCell ref="C90:C92"/>
    <mergeCell ref="C93:C95"/>
    <mergeCell ref="D8:D10"/>
    <mergeCell ref="D11:D13"/>
    <mergeCell ref="D14:D16"/>
    <mergeCell ref="D17:D19"/>
    <mergeCell ref="D24:D26"/>
    <mergeCell ref="D27:D29"/>
    <mergeCell ref="D30:D32"/>
    <mergeCell ref="D33:D35"/>
    <mergeCell ref="D36:D38"/>
    <mergeCell ref="D39:D41"/>
    <mergeCell ref="D42:D44"/>
    <mergeCell ref="D46:D48"/>
    <mergeCell ref="D49:D51"/>
    <mergeCell ref="D52:D54"/>
    <mergeCell ref="D55:D57"/>
    <mergeCell ref="D58:D60"/>
    <mergeCell ref="D63:D65"/>
    <mergeCell ref="D66:D68"/>
    <mergeCell ref="D75:D77"/>
    <mergeCell ref="D78:D80"/>
    <mergeCell ref="D81:D83"/>
    <mergeCell ref="D84:D86"/>
    <mergeCell ref="D87:D89"/>
    <mergeCell ref="D90:D92"/>
    <mergeCell ref="D93:D95"/>
    <mergeCell ref="E8:E10"/>
    <mergeCell ref="E11:E13"/>
    <mergeCell ref="E14:E16"/>
    <mergeCell ref="E17:E19"/>
    <mergeCell ref="E24:E26"/>
    <mergeCell ref="E27:E29"/>
    <mergeCell ref="E30:E32"/>
    <mergeCell ref="E33:E35"/>
    <mergeCell ref="E36:E38"/>
    <mergeCell ref="E39:E41"/>
    <mergeCell ref="E42:E44"/>
    <mergeCell ref="E46:E48"/>
    <mergeCell ref="E49:E51"/>
    <mergeCell ref="E52:E54"/>
    <mergeCell ref="E55:E57"/>
    <mergeCell ref="E58:E60"/>
    <mergeCell ref="E63:E65"/>
    <mergeCell ref="E66:E68"/>
    <mergeCell ref="E75:E77"/>
    <mergeCell ref="E78:E80"/>
    <mergeCell ref="E81:E83"/>
    <mergeCell ref="E84:E86"/>
    <mergeCell ref="E87:E89"/>
    <mergeCell ref="E90:E92"/>
    <mergeCell ref="E93:E95"/>
    <mergeCell ref="F8:F10"/>
    <mergeCell ref="F11:F13"/>
    <mergeCell ref="F14:F16"/>
    <mergeCell ref="F17:F19"/>
    <mergeCell ref="F24:F26"/>
    <mergeCell ref="F27:F29"/>
    <mergeCell ref="F30:F32"/>
    <mergeCell ref="F33:F35"/>
    <mergeCell ref="F36:F38"/>
    <mergeCell ref="F39:F41"/>
    <mergeCell ref="F42:F44"/>
    <mergeCell ref="F46:F48"/>
    <mergeCell ref="F49:F51"/>
    <mergeCell ref="F52:F54"/>
    <mergeCell ref="F55:F57"/>
    <mergeCell ref="F58:F60"/>
    <mergeCell ref="F63:F65"/>
    <mergeCell ref="F66:F68"/>
    <mergeCell ref="F75:F77"/>
    <mergeCell ref="F78:F80"/>
    <mergeCell ref="F81:F83"/>
    <mergeCell ref="F84:F86"/>
    <mergeCell ref="F87:F89"/>
    <mergeCell ref="F90:F92"/>
    <mergeCell ref="F93:F95"/>
    <mergeCell ref="G8:G10"/>
    <mergeCell ref="G11:G13"/>
    <mergeCell ref="G14:G16"/>
    <mergeCell ref="G17:G19"/>
    <mergeCell ref="G24:G26"/>
    <mergeCell ref="G27:G29"/>
    <mergeCell ref="G30:G32"/>
    <mergeCell ref="G33:G35"/>
    <mergeCell ref="G36:G38"/>
    <mergeCell ref="G39:G41"/>
    <mergeCell ref="G42:G44"/>
    <mergeCell ref="G46:G48"/>
    <mergeCell ref="G49:G51"/>
    <mergeCell ref="G52:G54"/>
    <mergeCell ref="G55:G57"/>
    <mergeCell ref="G58:G60"/>
    <mergeCell ref="G63:G65"/>
    <mergeCell ref="G66:G68"/>
    <mergeCell ref="G75:G77"/>
    <mergeCell ref="G78:G80"/>
    <mergeCell ref="G81:G83"/>
    <mergeCell ref="G84:G86"/>
    <mergeCell ref="G87:G89"/>
    <mergeCell ref="G90:G92"/>
    <mergeCell ref="G93:G95"/>
    <mergeCell ref="H8:H10"/>
    <mergeCell ref="H11:H13"/>
    <mergeCell ref="H14:H16"/>
    <mergeCell ref="H17:H19"/>
    <mergeCell ref="H24:H26"/>
    <mergeCell ref="H27:H29"/>
    <mergeCell ref="H30:H32"/>
    <mergeCell ref="H33:H35"/>
    <mergeCell ref="H36:H38"/>
    <mergeCell ref="H39:H41"/>
    <mergeCell ref="H42:H44"/>
    <mergeCell ref="H46:H48"/>
    <mergeCell ref="H49:H51"/>
    <mergeCell ref="H52:H54"/>
    <mergeCell ref="H55:H57"/>
    <mergeCell ref="H58:H60"/>
    <mergeCell ref="H63:H65"/>
    <mergeCell ref="H66:H68"/>
    <mergeCell ref="H75:H77"/>
    <mergeCell ref="H78:H80"/>
    <mergeCell ref="H81:H83"/>
    <mergeCell ref="H84:H86"/>
    <mergeCell ref="H87:H89"/>
    <mergeCell ref="H90:H92"/>
    <mergeCell ref="H93:H95"/>
    <mergeCell ref="I8:I10"/>
    <mergeCell ref="I11:I13"/>
    <mergeCell ref="I14:I16"/>
    <mergeCell ref="I17:I19"/>
    <mergeCell ref="I24:I26"/>
    <mergeCell ref="I27:I29"/>
    <mergeCell ref="I30:I32"/>
    <mergeCell ref="I33:I35"/>
    <mergeCell ref="I36:I38"/>
    <mergeCell ref="I39:I41"/>
    <mergeCell ref="I42:I44"/>
    <mergeCell ref="I46:I48"/>
    <mergeCell ref="I49:I51"/>
    <mergeCell ref="I52:I54"/>
    <mergeCell ref="I55:I57"/>
    <mergeCell ref="I58:I60"/>
    <mergeCell ref="I63:I65"/>
    <mergeCell ref="I66:I68"/>
    <mergeCell ref="I75:I77"/>
    <mergeCell ref="I78:I80"/>
    <mergeCell ref="I81:I83"/>
    <mergeCell ref="I84:I86"/>
    <mergeCell ref="I87:I89"/>
    <mergeCell ref="I90:I92"/>
    <mergeCell ref="I93:I95"/>
    <mergeCell ref="J8:J10"/>
    <mergeCell ref="J11:J13"/>
    <mergeCell ref="J14:J16"/>
    <mergeCell ref="J17:J19"/>
    <mergeCell ref="J24:J26"/>
    <mergeCell ref="J27:J29"/>
    <mergeCell ref="J30:J32"/>
    <mergeCell ref="J33:J35"/>
    <mergeCell ref="J36:J38"/>
    <mergeCell ref="J39:J41"/>
    <mergeCell ref="J42:J44"/>
    <mergeCell ref="J46:J48"/>
    <mergeCell ref="J49:J51"/>
    <mergeCell ref="J52:J54"/>
    <mergeCell ref="J55:J57"/>
    <mergeCell ref="J58:J60"/>
    <mergeCell ref="J63:J65"/>
    <mergeCell ref="J66:J68"/>
    <mergeCell ref="J75:J77"/>
    <mergeCell ref="J78:J80"/>
    <mergeCell ref="J81:J83"/>
    <mergeCell ref="J84:J86"/>
    <mergeCell ref="J87:J89"/>
    <mergeCell ref="J90:J92"/>
    <mergeCell ref="J93:J95"/>
    <mergeCell ref="K8:K10"/>
    <mergeCell ref="K11:K13"/>
    <mergeCell ref="K14:K16"/>
    <mergeCell ref="K17:K19"/>
    <mergeCell ref="K24:K26"/>
    <mergeCell ref="K27:K29"/>
    <mergeCell ref="K30:K32"/>
    <mergeCell ref="K33:K35"/>
    <mergeCell ref="K36:K38"/>
    <mergeCell ref="K39:K41"/>
    <mergeCell ref="K42:K44"/>
    <mergeCell ref="K46:K48"/>
    <mergeCell ref="K49:K51"/>
    <mergeCell ref="K52:K54"/>
    <mergeCell ref="K55:K57"/>
    <mergeCell ref="K58:K60"/>
    <mergeCell ref="K63:K65"/>
    <mergeCell ref="K66:K68"/>
    <mergeCell ref="K75:K77"/>
    <mergeCell ref="K78:K80"/>
    <mergeCell ref="K81:K83"/>
    <mergeCell ref="K84:K86"/>
    <mergeCell ref="K87:K89"/>
    <mergeCell ref="K90:K92"/>
    <mergeCell ref="K93:K95"/>
    <mergeCell ref="L8:L10"/>
    <mergeCell ref="L11:L13"/>
    <mergeCell ref="L14:L16"/>
    <mergeCell ref="L17:L19"/>
    <mergeCell ref="L24:L26"/>
    <mergeCell ref="L27:L29"/>
    <mergeCell ref="L30:L32"/>
    <mergeCell ref="L33:L35"/>
    <mergeCell ref="L36:L38"/>
    <mergeCell ref="L39:L41"/>
    <mergeCell ref="L42:L44"/>
    <mergeCell ref="L46:L48"/>
    <mergeCell ref="L49:L51"/>
    <mergeCell ref="L52:L54"/>
    <mergeCell ref="L55:L57"/>
    <mergeCell ref="L58:L60"/>
    <mergeCell ref="L63:L65"/>
    <mergeCell ref="L66:L68"/>
    <mergeCell ref="L75:L77"/>
    <mergeCell ref="L78:L80"/>
    <mergeCell ref="L81:L83"/>
    <mergeCell ref="L84:L86"/>
    <mergeCell ref="L87:L89"/>
    <mergeCell ref="L90:L92"/>
    <mergeCell ref="L93:L95"/>
    <mergeCell ref="M8:M10"/>
    <mergeCell ref="M11:M13"/>
    <mergeCell ref="M14:M16"/>
    <mergeCell ref="M17:M19"/>
    <mergeCell ref="M24:M26"/>
    <mergeCell ref="M27:M29"/>
    <mergeCell ref="M30:M32"/>
    <mergeCell ref="M33:M35"/>
    <mergeCell ref="M36:M38"/>
    <mergeCell ref="M39:M41"/>
    <mergeCell ref="M42:M44"/>
    <mergeCell ref="M46:M48"/>
    <mergeCell ref="M49:M51"/>
    <mergeCell ref="M52:M54"/>
    <mergeCell ref="M55:M57"/>
    <mergeCell ref="M58:M60"/>
    <mergeCell ref="M63:M65"/>
    <mergeCell ref="M66:M68"/>
    <mergeCell ref="M75:M77"/>
    <mergeCell ref="M78:M80"/>
    <mergeCell ref="M81:M83"/>
    <mergeCell ref="M84:M86"/>
    <mergeCell ref="M87:M89"/>
    <mergeCell ref="M90:M92"/>
    <mergeCell ref="M93:M95"/>
    <mergeCell ref="N8:N10"/>
    <mergeCell ref="N11:N13"/>
    <mergeCell ref="N14:N16"/>
    <mergeCell ref="N17:N19"/>
    <mergeCell ref="N24:N26"/>
    <mergeCell ref="N27:N29"/>
    <mergeCell ref="N30:N32"/>
    <mergeCell ref="N33:N35"/>
    <mergeCell ref="N36:N38"/>
    <mergeCell ref="N39:N41"/>
    <mergeCell ref="N42:N44"/>
    <mergeCell ref="N46:N48"/>
    <mergeCell ref="N49:N51"/>
    <mergeCell ref="N52:N54"/>
    <mergeCell ref="N55:N57"/>
    <mergeCell ref="N58:N60"/>
    <mergeCell ref="N63:N65"/>
    <mergeCell ref="N66:N68"/>
    <mergeCell ref="N75:N77"/>
    <mergeCell ref="N78:N80"/>
    <mergeCell ref="N81:N83"/>
    <mergeCell ref="N84:N86"/>
    <mergeCell ref="N87:N89"/>
    <mergeCell ref="N90:N92"/>
    <mergeCell ref="N93:N95"/>
    <mergeCell ref="O8:O10"/>
    <mergeCell ref="O11:O13"/>
    <mergeCell ref="O14:O16"/>
    <mergeCell ref="O17:O19"/>
    <mergeCell ref="O24:O26"/>
    <mergeCell ref="O27:O29"/>
    <mergeCell ref="O30:O32"/>
    <mergeCell ref="O33:O35"/>
    <mergeCell ref="O36:O38"/>
    <mergeCell ref="O39:O41"/>
    <mergeCell ref="O42:O44"/>
    <mergeCell ref="O46:O48"/>
    <mergeCell ref="O49:O51"/>
    <mergeCell ref="O52:O54"/>
    <mergeCell ref="O55:O57"/>
    <mergeCell ref="O58:O60"/>
    <mergeCell ref="O63:O65"/>
    <mergeCell ref="O66:O68"/>
    <mergeCell ref="O75:O77"/>
    <mergeCell ref="O78:O80"/>
    <mergeCell ref="O81:O83"/>
    <mergeCell ref="O84:O86"/>
    <mergeCell ref="O87:O89"/>
    <mergeCell ref="O90:O92"/>
    <mergeCell ref="O93:O95"/>
    <mergeCell ref="P8:P10"/>
    <mergeCell ref="P11:P13"/>
    <mergeCell ref="P14:P16"/>
    <mergeCell ref="P17:P19"/>
    <mergeCell ref="P24:P26"/>
    <mergeCell ref="P27:P29"/>
    <mergeCell ref="P30:P32"/>
    <mergeCell ref="P33:P35"/>
    <mergeCell ref="P36:P38"/>
    <mergeCell ref="P39:P41"/>
    <mergeCell ref="P42:P44"/>
    <mergeCell ref="P46:P48"/>
    <mergeCell ref="P49:P51"/>
    <mergeCell ref="P52:P54"/>
    <mergeCell ref="P55:P57"/>
    <mergeCell ref="P58:P60"/>
    <mergeCell ref="P63:P65"/>
    <mergeCell ref="P66:P68"/>
    <mergeCell ref="P75:P77"/>
    <mergeCell ref="P78:P80"/>
    <mergeCell ref="P81:P83"/>
    <mergeCell ref="P84:P86"/>
    <mergeCell ref="P87:P89"/>
    <mergeCell ref="P90:P92"/>
    <mergeCell ref="P93:P95"/>
    <mergeCell ref="Q8:Q10"/>
    <mergeCell ref="Q11:Q13"/>
    <mergeCell ref="Q14:Q16"/>
    <mergeCell ref="Q17:Q19"/>
    <mergeCell ref="Q24:Q26"/>
    <mergeCell ref="Q27:Q29"/>
    <mergeCell ref="Q30:Q32"/>
    <mergeCell ref="Q33:Q35"/>
    <mergeCell ref="Q36:Q38"/>
    <mergeCell ref="Q39:Q41"/>
    <mergeCell ref="Q42:Q44"/>
    <mergeCell ref="Q46:Q48"/>
    <mergeCell ref="Q49:Q51"/>
    <mergeCell ref="Q52:Q54"/>
    <mergeCell ref="Q55:Q57"/>
    <mergeCell ref="Q58:Q60"/>
    <mergeCell ref="Q63:Q65"/>
    <mergeCell ref="Q66:Q68"/>
    <mergeCell ref="Q75:Q77"/>
    <mergeCell ref="Q78:Q80"/>
    <mergeCell ref="Q81:Q83"/>
    <mergeCell ref="Q84:Q86"/>
    <mergeCell ref="Q87:Q89"/>
    <mergeCell ref="Q90:Q92"/>
    <mergeCell ref="Q93:Q95"/>
    <mergeCell ref="R8:R10"/>
    <mergeCell ref="R11:R13"/>
    <mergeCell ref="R14:R16"/>
    <mergeCell ref="R17:R19"/>
    <mergeCell ref="R24:R26"/>
    <mergeCell ref="R27:R29"/>
    <mergeCell ref="R30:R32"/>
    <mergeCell ref="R33:R35"/>
    <mergeCell ref="R36:R38"/>
    <mergeCell ref="R39:R41"/>
    <mergeCell ref="R42:R44"/>
    <mergeCell ref="R46:R48"/>
    <mergeCell ref="R49:R51"/>
    <mergeCell ref="R52:R54"/>
    <mergeCell ref="R55:R57"/>
    <mergeCell ref="R58:R60"/>
    <mergeCell ref="R63:R65"/>
    <mergeCell ref="R66:R68"/>
    <mergeCell ref="R75:R77"/>
    <mergeCell ref="R78:R80"/>
    <mergeCell ref="R81:R83"/>
    <mergeCell ref="R84:R86"/>
    <mergeCell ref="R87:R89"/>
    <mergeCell ref="R90:R92"/>
    <mergeCell ref="R93:R95"/>
    <mergeCell ref="S8:S10"/>
    <mergeCell ref="S11:S13"/>
    <mergeCell ref="S14:S16"/>
    <mergeCell ref="S17:S19"/>
    <mergeCell ref="S24:S26"/>
    <mergeCell ref="S27:S29"/>
    <mergeCell ref="S30:S32"/>
    <mergeCell ref="S33:S35"/>
    <mergeCell ref="S36:S38"/>
    <mergeCell ref="S39:S41"/>
    <mergeCell ref="S42:S44"/>
    <mergeCell ref="S46:S48"/>
    <mergeCell ref="S49:S51"/>
    <mergeCell ref="S52:S54"/>
    <mergeCell ref="S55:S57"/>
    <mergeCell ref="S58:S60"/>
    <mergeCell ref="S63:S65"/>
    <mergeCell ref="S66:S68"/>
    <mergeCell ref="S75:S77"/>
    <mergeCell ref="S78:S80"/>
    <mergeCell ref="S81:S83"/>
    <mergeCell ref="S84:S86"/>
    <mergeCell ref="S87:S89"/>
    <mergeCell ref="S90:S92"/>
    <mergeCell ref="S93:S95"/>
    <mergeCell ref="T8:T10"/>
    <mergeCell ref="T11:T13"/>
    <mergeCell ref="T14:T16"/>
    <mergeCell ref="T17:T19"/>
    <mergeCell ref="T24:T26"/>
    <mergeCell ref="T27:T29"/>
    <mergeCell ref="T30:T32"/>
    <mergeCell ref="T33:T35"/>
    <mergeCell ref="T36:T38"/>
    <mergeCell ref="T39:T41"/>
    <mergeCell ref="T42:T44"/>
    <mergeCell ref="T46:T48"/>
    <mergeCell ref="T49:T51"/>
    <mergeCell ref="T52:T54"/>
    <mergeCell ref="T55:T57"/>
    <mergeCell ref="T58:T60"/>
    <mergeCell ref="T63:T65"/>
    <mergeCell ref="T66:T68"/>
    <mergeCell ref="T75:T77"/>
    <mergeCell ref="T78:T80"/>
    <mergeCell ref="T81:T83"/>
    <mergeCell ref="T84:T86"/>
    <mergeCell ref="T87:T89"/>
    <mergeCell ref="T90:T92"/>
    <mergeCell ref="T93:T95"/>
    <mergeCell ref="U8:U10"/>
    <mergeCell ref="U11:U13"/>
    <mergeCell ref="U14:U16"/>
    <mergeCell ref="U17:U19"/>
    <mergeCell ref="U24:U26"/>
    <mergeCell ref="U27:U29"/>
    <mergeCell ref="U30:U32"/>
    <mergeCell ref="U33:U35"/>
    <mergeCell ref="U36:U38"/>
    <mergeCell ref="U39:U41"/>
    <mergeCell ref="U42:U44"/>
    <mergeCell ref="U46:U48"/>
    <mergeCell ref="U49:U51"/>
    <mergeCell ref="U52:U54"/>
    <mergeCell ref="U55:U57"/>
    <mergeCell ref="U58:U60"/>
    <mergeCell ref="U63:U65"/>
    <mergeCell ref="U66:U68"/>
    <mergeCell ref="U75:U77"/>
    <mergeCell ref="U78:U80"/>
    <mergeCell ref="U81:U83"/>
    <mergeCell ref="U84:U86"/>
    <mergeCell ref="U87:U89"/>
    <mergeCell ref="U90:U92"/>
    <mergeCell ref="U93:U95"/>
    <mergeCell ref="V8:V10"/>
    <mergeCell ref="V11:V13"/>
    <mergeCell ref="V14:V16"/>
    <mergeCell ref="V17:V19"/>
    <mergeCell ref="V24:V26"/>
    <mergeCell ref="V27:V29"/>
    <mergeCell ref="V30:V32"/>
    <mergeCell ref="V33:V35"/>
    <mergeCell ref="V36:V38"/>
    <mergeCell ref="V39:V41"/>
    <mergeCell ref="V42:V44"/>
    <mergeCell ref="V46:V48"/>
    <mergeCell ref="V49:V51"/>
    <mergeCell ref="V52:V54"/>
    <mergeCell ref="V55:V57"/>
    <mergeCell ref="V58:V60"/>
    <mergeCell ref="V63:V65"/>
    <mergeCell ref="V66:V68"/>
    <mergeCell ref="V75:V77"/>
    <mergeCell ref="V78:V80"/>
    <mergeCell ref="V81:V83"/>
    <mergeCell ref="V84:V86"/>
    <mergeCell ref="V87:V89"/>
    <mergeCell ref="V90:V92"/>
    <mergeCell ref="V93:V95"/>
    <mergeCell ref="W8:W10"/>
    <mergeCell ref="W11:W13"/>
    <mergeCell ref="W14:W16"/>
    <mergeCell ref="W17:W19"/>
    <mergeCell ref="W24:W26"/>
    <mergeCell ref="W27:W29"/>
    <mergeCell ref="W30:W32"/>
    <mergeCell ref="W33:W35"/>
    <mergeCell ref="W36:W38"/>
    <mergeCell ref="W39:W41"/>
    <mergeCell ref="W42:W44"/>
    <mergeCell ref="W46:W48"/>
    <mergeCell ref="W49:W51"/>
    <mergeCell ref="W52:W54"/>
    <mergeCell ref="W55:W57"/>
    <mergeCell ref="W58:W60"/>
    <mergeCell ref="W63:W65"/>
    <mergeCell ref="W66:W68"/>
    <mergeCell ref="W75:W77"/>
    <mergeCell ref="W78:W80"/>
    <mergeCell ref="W81:W83"/>
    <mergeCell ref="W84:W86"/>
    <mergeCell ref="W87:W89"/>
    <mergeCell ref="W90:W92"/>
    <mergeCell ref="W93:W95"/>
    <mergeCell ref="X8:X10"/>
    <mergeCell ref="X11:X13"/>
    <mergeCell ref="X14:X16"/>
    <mergeCell ref="X17:X19"/>
    <mergeCell ref="X24:X26"/>
    <mergeCell ref="X27:X29"/>
    <mergeCell ref="X30:X32"/>
    <mergeCell ref="X33:X35"/>
    <mergeCell ref="X36:X38"/>
    <mergeCell ref="X39:X41"/>
    <mergeCell ref="X42:X44"/>
    <mergeCell ref="X46:X48"/>
    <mergeCell ref="X49:X51"/>
    <mergeCell ref="X52:X54"/>
    <mergeCell ref="X55:X57"/>
    <mergeCell ref="X58:X60"/>
    <mergeCell ref="X63:X65"/>
    <mergeCell ref="X75:X77"/>
    <mergeCell ref="X78:X80"/>
    <mergeCell ref="X81:X83"/>
    <mergeCell ref="X84:X86"/>
    <mergeCell ref="X87:X89"/>
    <mergeCell ref="X90:X92"/>
    <mergeCell ref="X93:X95"/>
    <mergeCell ref="Y8:Y10"/>
    <mergeCell ref="Y11:Y13"/>
    <mergeCell ref="Y14:Y16"/>
    <mergeCell ref="Y17:Y19"/>
    <mergeCell ref="Y24:Y26"/>
    <mergeCell ref="Y27:Y29"/>
    <mergeCell ref="Y30:Y32"/>
    <mergeCell ref="Y33:Y35"/>
    <mergeCell ref="Y36:Y38"/>
    <mergeCell ref="Y39:Y41"/>
    <mergeCell ref="Y42:Y44"/>
    <mergeCell ref="Y46:Y48"/>
    <mergeCell ref="Y49:Y51"/>
    <mergeCell ref="Y52:Y54"/>
    <mergeCell ref="Y55:Y57"/>
    <mergeCell ref="Y58:Y60"/>
    <mergeCell ref="Y63:Y65"/>
    <mergeCell ref="Y66:Y68"/>
    <mergeCell ref="Y75:Y77"/>
    <mergeCell ref="Y78:Y80"/>
    <mergeCell ref="Y81:Y83"/>
    <mergeCell ref="Y84:Y86"/>
    <mergeCell ref="Y87:Y89"/>
    <mergeCell ref="Y90:Y92"/>
    <mergeCell ref="Y93:Y95"/>
    <mergeCell ref="Z8:Z10"/>
    <mergeCell ref="Z11:Z13"/>
    <mergeCell ref="Z14:Z16"/>
    <mergeCell ref="Z17:Z19"/>
    <mergeCell ref="Z24:Z26"/>
    <mergeCell ref="Z27:Z29"/>
    <mergeCell ref="Z30:Z32"/>
    <mergeCell ref="Z33:Z35"/>
    <mergeCell ref="Z36:Z38"/>
    <mergeCell ref="Z39:Z41"/>
    <mergeCell ref="Z42:Z44"/>
    <mergeCell ref="Z46:Z48"/>
    <mergeCell ref="Z49:Z51"/>
    <mergeCell ref="Z52:Z54"/>
    <mergeCell ref="Z55:Z57"/>
    <mergeCell ref="Z58:Z60"/>
    <mergeCell ref="Z63:Z65"/>
    <mergeCell ref="Z66:Z68"/>
    <mergeCell ref="Z75:Z77"/>
    <mergeCell ref="Z78:Z80"/>
    <mergeCell ref="Z81:Z83"/>
    <mergeCell ref="Z84:Z86"/>
    <mergeCell ref="Z87:Z89"/>
    <mergeCell ref="Z90:Z92"/>
    <mergeCell ref="Z93:Z95"/>
    <mergeCell ref="AA11:AA13"/>
    <mergeCell ref="AA14:AA16"/>
    <mergeCell ref="AA17:AA19"/>
    <mergeCell ref="AA24:AA26"/>
    <mergeCell ref="AA27:AA29"/>
    <mergeCell ref="AA30:AA32"/>
    <mergeCell ref="AA33:AA35"/>
    <mergeCell ref="AA36:AA38"/>
    <mergeCell ref="AA39:AA41"/>
    <mergeCell ref="AA42:AA44"/>
    <mergeCell ref="AA46:AA48"/>
    <mergeCell ref="AA49:AA51"/>
    <mergeCell ref="AA52:AA54"/>
    <mergeCell ref="AA55:AA57"/>
    <mergeCell ref="AA58:AA60"/>
    <mergeCell ref="AA63:AA65"/>
    <mergeCell ref="AA66:AA68"/>
    <mergeCell ref="AA75:AA77"/>
    <mergeCell ref="AA78:AA80"/>
    <mergeCell ref="AA81:AA83"/>
    <mergeCell ref="AA84:AA86"/>
    <mergeCell ref="AA87:AA89"/>
    <mergeCell ref="AA90:AA92"/>
    <mergeCell ref="AA93:AA95"/>
    <mergeCell ref="AB78:AB80"/>
    <mergeCell ref="AB81:AB83"/>
    <mergeCell ref="AB84:AB86"/>
    <mergeCell ref="AB87:AB89"/>
    <mergeCell ref="AB90:AB92"/>
    <mergeCell ref="AB93:AB95"/>
    <mergeCell ref="AC11:AC13"/>
    <mergeCell ref="AC14:AC16"/>
    <mergeCell ref="AC17:AC19"/>
    <mergeCell ref="AC24:AC26"/>
    <mergeCell ref="AC27:AC29"/>
    <mergeCell ref="AC30:AC32"/>
    <mergeCell ref="AC33:AC35"/>
    <mergeCell ref="AC36:AC38"/>
    <mergeCell ref="AC39:AC41"/>
    <mergeCell ref="AC42:AC44"/>
    <mergeCell ref="AC46:AC48"/>
    <mergeCell ref="AC49:AC51"/>
    <mergeCell ref="AC52:AC54"/>
    <mergeCell ref="AC55:AC57"/>
    <mergeCell ref="AC58:AC60"/>
    <mergeCell ref="AC63:AC65"/>
    <mergeCell ref="AC66:AC68"/>
    <mergeCell ref="AC75:AC77"/>
    <mergeCell ref="AC78:AC80"/>
    <mergeCell ref="AC81:AC83"/>
    <mergeCell ref="AC84:AC86"/>
    <mergeCell ref="AC87:AC89"/>
    <mergeCell ref="AC90:AC92"/>
    <mergeCell ref="AC93:AC95"/>
    <mergeCell ref="AB11:AB13"/>
    <mergeCell ref="AB14:AB16"/>
    <mergeCell ref="AD14:AD16"/>
    <mergeCell ref="AD17:AD19"/>
    <mergeCell ref="AD24:AD26"/>
    <mergeCell ref="AD27:AD29"/>
    <mergeCell ref="AD30:AD32"/>
    <mergeCell ref="AD33:AD35"/>
    <mergeCell ref="AD36:AD38"/>
    <mergeCell ref="AD39:AD41"/>
    <mergeCell ref="AD42:AD44"/>
    <mergeCell ref="AD46:AD48"/>
    <mergeCell ref="AD49:AD51"/>
    <mergeCell ref="AD52:AD54"/>
    <mergeCell ref="AD55:AD57"/>
    <mergeCell ref="AD58:AD60"/>
    <mergeCell ref="AD63:AD65"/>
    <mergeCell ref="AD66:AD68"/>
    <mergeCell ref="AB75:AB77"/>
    <mergeCell ref="AB17:AB19"/>
    <mergeCell ref="AB24:AB26"/>
    <mergeCell ref="AB27:AB29"/>
    <mergeCell ref="AB30:AB32"/>
    <mergeCell ref="AB33:AB35"/>
    <mergeCell ref="AB36:AB38"/>
    <mergeCell ref="AB39:AB41"/>
    <mergeCell ref="AB42:AB44"/>
    <mergeCell ref="AB46:AB48"/>
    <mergeCell ref="AB49:AB51"/>
    <mergeCell ref="AB52:AB54"/>
    <mergeCell ref="AB55:AB57"/>
    <mergeCell ref="AB58:AB60"/>
    <mergeCell ref="AB63:AB65"/>
    <mergeCell ref="AB66:AB68"/>
    <mergeCell ref="AD75:AD77"/>
    <mergeCell ref="AD78:AD80"/>
    <mergeCell ref="AD81:AD83"/>
    <mergeCell ref="AD84:AD86"/>
    <mergeCell ref="AD87:AD89"/>
    <mergeCell ref="AD90:AD92"/>
    <mergeCell ref="AD93:AD95"/>
    <mergeCell ref="AE11:AE13"/>
    <mergeCell ref="AE14:AE16"/>
    <mergeCell ref="AE17:AE19"/>
    <mergeCell ref="AE24:AE26"/>
    <mergeCell ref="AE27:AE29"/>
    <mergeCell ref="AE30:AE32"/>
    <mergeCell ref="AE33:AE35"/>
    <mergeCell ref="AE36:AE38"/>
    <mergeCell ref="AE39:AE41"/>
    <mergeCell ref="AE42:AE44"/>
    <mergeCell ref="AE46:AE48"/>
    <mergeCell ref="AE49:AE51"/>
    <mergeCell ref="AE52:AE54"/>
    <mergeCell ref="AE55:AE57"/>
    <mergeCell ref="AE58:AE60"/>
    <mergeCell ref="AE63:AE65"/>
    <mergeCell ref="AE66:AE68"/>
    <mergeCell ref="AE75:AE77"/>
    <mergeCell ref="AE78:AE80"/>
    <mergeCell ref="AE81:AE83"/>
    <mergeCell ref="AE84:AE86"/>
    <mergeCell ref="AE87:AE89"/>
    <mergeCell ref="AE90:AE92"/>
    <mergeCell ref="AE93:AE95"/>
    <mergeCell ref="AD11:AD13"/>
    <mergeCell ref="AF78:AF80"/>
    <mergeCell ref="AF81:AF83"/>
    <mergeCell ref="AF84:AF86"/>
    <mergeCell ref="AF87:AF89"/>
    <mergeCell ref="AF90:AF92"/>
    <mergeCell ref="AF93:AF95"/>
    <mergeCell ref="AG11:AG13"/>
    <mergeCell ref="AG14:AG16"/>
    <mergeCell ref="AG17:AG19"/>
    <mergeCell ref="AG24:AG26"/>
    <mergeCell ref="AG27:AG29"/>
    <mergeCell ref="AG30:AG32"/>
    <mergeCell ref="AG33:AG35"/>
    <mergeCell ref="AG36:AG38"/>
    <mergeCell ref="AG39:AG41"/>
    <mergeCell ref="AG42:AG44"/>
    <mergeCell ref="AG46:AG48"/>
    <mergeCell ref="AG49:AG51"/>
    <mergeCell ref="AG52:AG54"/>
    <mergeCell ref="AG55:AG57"/>
    <mergeCell ref="AG58:AG60"/>
    <mergeCell ref="AG63:AG65"/>
    <mergeCell ref="AG66:AG68"/>
    <mergeCell ref="AG75:AG77"/>
    <mergeCell ref="AG78:AG80"/>
    <mergeCell ref="AG81:AG83"/>
    <mergeCell ref="AG84:AG86"/>
    <mergeCell ref="AG87:AG89"/>
    <mergeCell ref="AG90:AG92"/>
    <mergeCell ref="AG93:AG95"/>
    <mergeCell ref="AF11:AF13"/>
    <mergeCell ref="AF14:AF16"/>
    <mergeCell ref="AH14:AH16"/>
    <mergeCell ref="AH17:AH19"/>
    <mergeCell ref="AH24:AH26"/>
    <mergeCell ref="AH27:AH29"/>
    <mergeCell ref="AH30:AH32"/>
    <mergeCell ref="AH33:AH35"/>
    <mergeCell ref="AH36:AH38"/>
    <mergeCell ref="AH39:AH41"/>
    <mergeCell ref="AH42:AH44"/>
    <mergeCell ref="AH46:AH48"/>
    <mergeCell ref="AH49:AH51"/>
    <mergeCell ref="AH52:AH54"/>
    <mergeCell ref="AH55:AH57"/>
    <mergeCell ref="AH58:AH60"/>
    <mergeCell ref="AH63:AH65"/>
    <mergeCell ref="AH66:AH68"/>
    <mergeCell ref="AF75:AF77"/>
    <mergeCell ref="AF17:AF19"/>
    <mergeCell ref="AF24:AF26"/>
    <mergeCell ref="AF27:AF29"/>
    <mergeCell ref="AF30:AF32"/>
    <mergeCell ref="AF33:AF35"/>
    <mergeCell ref="AF36:AF38"/>
    <mergeCell ref="AF39:AF41"/>
    <mergeCell ref="AF42:AF44"/>
    <mergeCell ref="AF46:AF48"/>
    <mergeCell ref="AF49:AF51"/>
    <mergeCell ref="AF52:AF54"/>
    <mergeCell ref="AF55:AF57"/>
    <mergeCell ref="AF58:AF60"/>
    <mergeCell ref="AF63:AF65"/>
    <mergeCell ref="AF66:AF68"/>
    <mergeCell ref="AH75:AH77"/>
    <mergeCell ref="AH78:AH80"/>
    <mergeCell ref="AH81:AH83"/>
    <mergeCell ref="AH84:AH86"/>
    <mergeCell ref="AH87:AH89"/>
    <mergeCell ref="AH90:AH92"/>
    <mergeCell ref="AH93:AH95"/>
    <mergeCell ref="AI11:AI13"/>
    <mergeCell ref="AI14:AI16"/>
    <mergeCell ref="AI17:AI19"/>
    <mergeCell ref="AI24:AI26"/>
    <mergeCell ref="AI27:AI29"/>
    <mergeCell ref="AI30:AI32"/>
    <mergeCell ref="AI33:AI35"/>
    <mergeCell ref="AI36:AI38"/>
    <mergeCell ref="AI39:AI41"/>
    <mergeCell ref="AI42:AI44"/>
    <mergeCell ref="AI46:AI48"/>
    <mergeCell ref="AI49:AI51"/>
    <mergeCell ref="AI52:AI54"/>
    <mergeCell ref="AI55:AI57"/>
    <mergeCell ref="AI58:AI60"/>
    <mergeCell ref="AI63:AI65"/>
    <mergeCell ref="AI66:AI68"/>
    <mergeCell ref="AI75:AI77"/>
    <mergeCell ref="AI78:AI80"/>
    <mergeCell ref="AI81:AI83"/>
    <mergeCell ref="AI84:AI86"/>
    <mergeCell ref="AI87:AI89"/>
    <mergeCell ref="AI90:AI92"/>
    <mergeCell ref="AI93:AI95"/>
    <mergeCell ref="AH11:AH13"/>
    <mergeCell ref="AJ78:AJ80"/>
    <mergeCell ref="AJ81:AJ83"/>
    <mergeCell ref="AJ84:AJ86"/>
    <mergeCell ref="AJ87:AJ89"/>
    <mergeCell ref="AJ90:AJ92"/>
    <mergeCell ref="AJ93:AJ95"/>
    <mergeCell ref="AK11:AK13"/>
    <mergeCell ref="AK14:AK16"/>
    <mergeCell ref="AK17:AK19"/>
    <mergeCell ref="AK24:AK26"/>
    <mergeCell ref="AK27:AK29"/>
    <mergeCell ref="AK30:AK32"/>
    <mergeCell ref="AK33:AK35"/>
    <mergeCell ref="AK36:AK38"/>
    <mergeCell ref="AK39:AK41"/>
    <mergeCell ref="AK42:AK44"/>
    <mergeCell ref="AK46:AK48"/>
    <mergeCell ref="AK49:AK51"/>
    <mergeCell ref="AK52:AK54"/>
    <mergeCell ref="AK55:AK57"/>
    <mergeCell ref="AK58:AK60"/>
    <mergeCell ref="AK63:AK65"/>
    <mergeCell ref="AK66:AK68"/>
    <mergeCell ref="AK75:AK77"/>
    <mergeCell ref="AK78:AK80"/>
    <mergeCell ref="AK81:AK83"/>
    <mergeCell ref="AK84:AK86"/>
    <mergeCell ref="AK87:AK89"/>
    <mergeCell ref="AK90:AK92"/>
    <mergeCell ref="AK93:AK95"/>
    <mergeCell ref="AJ11:AJ13"/>
    <mergeCell ref="AJ14:AJ16"/>
    <mergeCell ref="AL14:AL16"/>
    <mergeCell ref="AL17:AL19"/>
    <mergeCell ref="AL24:AL26"/>
    <mergeCell ref="AL27:AL29"/>
    <mergeCell ref="AL30:AL32"/>
    <mergeCell ref="AL33:AL35"/>
    <mergeCell ref="AL36:AL38"/>
    <mergeCell ref="AL39:AL41"/>
    <mergeCell ref="AL42:AL44"/>
    <mergeCell ref="AL46:AL48"/>
    <mergeCell ref="AL49:AL51"/>
    <mergeCell ref="AL52:AL54"/>
    <mergeCell ref="AL55:AL57"/>
    <mergeCell ref="AL58:AL60"/>
    <mergeCell ref="AL63:AL65"/>
    <mergeCell ref="AL66:AL68"/>
    <mergeCell ref="AJ75:AJ77"/>
    <mergeCell ref="AJ17:AJ19"/>
    <mergeCell ref="AJ24:AJ26"/>
    <mergeCell ref="AJ27:AJ29"/>
    <mergeCell ref="AJ30:AJ32"/>
    <mergeCell ref="AJ33:AJ35"/>
    <mergeCell ref="AJ36:AJ38"/>
    <mergeCell ref="AJ39:AJ41"/>
    <mergeCell ref="AJ42:AJ44"/>
    <mergeCell ref="AJ46:AJ48"/>
    <mergeCell ref="AJ49:AJ51"/>
    <mergeCell ref="AJ52:AJ54"/>
    <mergeCell ref="AJ55:AJ57"/>
    <mergeCell ref="AJ58:AJ60"/>
    <mergeCell ref="AJ63:AJ65"/>
    <mergeCell ref="AJ66:AJ68"/>
    <mergeCell ref="AL75:AL77"/>
    <mergeCell ref="AL78:AL80"/>
    <mergeCell ref="AL81:AL83"/>
    <mergeCell ref="AL84:AL86"/>
    <mergeCell ref="AL87:AL89"/>
    <mergeCell ref="AL90:AL92"/>
    <mergeCell ref="AL93:AL95"/>
    <mergeCell ref="AM11:AM13"/>
    <mergeCell ref="AM14:AM16"/>
    <mergeCell ref="AM17:AM19"/>
    <mergeCell ref="AM24:AM26"/>
    <mergeCell ref="AM27:AM29"/>
    <mergeCell ref="AM30:AM32"/>
    <mergeCell ref="AM33:AM35"/>
    <mergeCell ref="AM36:AM38"/>
    <mergeCell ref="AM39:AM41"/>
    <mergeCell ref="AM42:AM44"/>
    <mergeCell ref="AM46:AM48"/>
    <mergeCell ref="AM49:AM51"/>
    <mergeCell ref="AM52:AM54"/>
    <mergeCell ref="AM55:AM57"/>
    <mergeCell ref="AM58:AM60"/>
    <mergeCell ref="AM63:AM65"/>
    <mergeCell ref="AM66:AM68"/>
    <mergeCell ref="AM75:AM77"/>
    <mergeCell ref="AM78:AM80"/>
    <mergeCell ref="AM81:AM83"/>
    <mergeCell ref="AM84:AM86"/>
    <mergeCell ref="AM87:AM89"/>
    <mergeCell ref="AM90:AM92"/>
    <mergeCell ref="AM93:AM95"/>
    <mergeCell ref="AL11:AL13"/>
    <mergeCell ref="AN11:AN13"/>
    <mergeCell ref="AN14:AN16"/>
    <mergeCell ref="AN17:AN19"/>
    <mergeCell ref="AN24:AN26"/>
    <mergeCell ref="AN27:AN29"/>
    <mergeCell ref="AN30:AN32"/>
    <mergeCell ref="AN33:AN35"/>
    <mergeCell ref="AN36:AN38"/>
    <mergeCell ref="AN39:AN41"/>
    <mergeCell ref="AN42:AN44"/>
    <mergeCell ref="AN46:AN48"/>
    <mergeCell ref="AN49:AN51"/>
    <mergeCell ref="AN52:AN54"/>
    <mergeCell ref="AN55:AN57"/>
    <mergeCell ref="AN58:AN60"/>
    <mergeCell ref="AN63:AN65"/>
    <mergeCell ref="AN66:AN68"/>
    <mergeCell ref="AN75:AN77"/>
    <mergeCell ref="AN78:AN80"/>
    <mergeCell ref="AN81:AN83"/>
    <mergeCell ref="AN84:AN86"/>
    <mergeCell ref="AN87:AN89"/>
    <mergeCell ref="AN90:AN92"/>
    <mergeCell ref="AN93:AN95"/>
    <mergeCell ref="AO8:AO10"/>
    <mergeCell ref="AO11:AO13"/>
    <mergeCell ref="AO14:AO16"/>
    <mergeCell ref="AO17:AO19"/>
    <mergeCell ref="AO24:AO26"/>
    <mergeCell ref="AO27:AO29"/>
    <mergeCell ref="AO30:AO32"/>
    <mergeCell ref="AO33:AO35"/>
    <mergeCell ref="AO36:AO38"/>
    <mergeCell ref="AO39:AO41"/>
    <mergeCell ref="AO42:AO44"/>
    <mergeCell ref="AO46:AO48"/>
    <mergeCell ref="AO49:AO51"/>
    <mergeCell ref="AO52:AO54"/>
    <mergeCell ref="AO55:AO57"/>
    <mergeCell ref="AO58:AO60"/>
    <mergeCell ref="AO63:AO65"/>
    <mergeCell ref="AO66:AO68"/>
    <mergeCell ref="AO75:AO77"/>
    <mergeCell ref="AO78:AO80"/>
    <mergeCell ref="AO81:AO83"/>
    <mergeCell ref="AO84:AO86"/>
    <mergeCell ref="AO87:AO89"/>
    <mergeCell ref="AO90:AO92"/>
    <mergeCell ref="AO93:AO95"/>
    <mergeCell ref="AP8:AP10"/>
    <mergeCell ref="AP11:AP13"/>
    <mergeCell ref="AP14:AP16"/>
    <mergeCell ref="AP17:AP19"/>
    <mergeCell ref="AP24:AP26"/>
    <mergeCell ref="AP27:AP29"/>
    <mergeCell ref="AP30:AP32"/>
    <mergeCell ref="AP33:AP35"/>
    <mergeCell ref="AP36:AP38"/>
    <mergeCell ref="AP39:AP41"/>
    <mergeCell ref="AP42:AP44"/>
    <mergeCell ref="AP46:AP48"/>
    <mergeCell ref="AP49:AP51"/>
    <mergeCell ref="AP52:AP54"/>
    <mergeCell ref="AP55:AP57"/>
    <mergeCell ref="AP58:AP60"/>
    <mergeCell ref="AP63:AP65"/>
    <mergeCell ref="AP66:AP68"/>
    <mergeCell ref="AP75:AP77"/>
    <mergeCell ref="AP78:AP80"/>
    <mergeCell ref="AP81:AP83"/>
    <mergeCell ref="AP84:AP86"/>
    <mergeCell ref="AP87:AP89"/>
    <mergeCell ref="AP90:AP92"/>
    <mergeCell ref="AP93:AP95"/>
    <mergeCell ref="AQ8:AQ10"/>
    <mergeCell ref="AQ11:AQ13"/>
    <mergeCell ref="AQ14:AQ16"/>
    <mergeCell ref="AQ17:AQ19"/>
    <mergeCell ref="AQ24:AQ26"/>
    <mergeCell ref="AQ27:AQ29"/>
    <mergeCell ref="AQ30:AQ32"/>
    <mergeCell ref="AQ33:AQ35"/>
    <mergeCell ref="AQ36:AQ38"/>
    <mergeCell ref="AQ39:AQ41"/>
    <mergeCell ref="AQ42:AQ44"/>
    <mergeCell ref="AQ46:AQ48"/>
    <mergeCell ref="AQ49:AQ51"/>
    <mergeCell ref="AQ52:AQ54"/>
    <mergeCell ref="AQ55:AQ57"/>
    <mergeCell ref="AQ58:AQ60"/>
    <mergeCell ref="AQ63:AQ65"/>
    <mergeCell ref="AQ66:AQ68"/>
    <mergeCell ref="AQ75:AQ77"/>
    <mergeCell ref="AQ78:AQ80"/>
    <mergeCell ref="AQ81:AQ83"/>
    <mergeCell ref="AQ84:AQ86"/>
    <mergeCell ref="AQ87:AQ89"/>
    <mergeCell ref="AQ90:AQ92"/>
    <mergeCell ref="AQ93:AQ95"/>
    <mergeCell ref="AR8:AR10"/>
    <mergeCell ref="AR11:AR13"/>
    <mergeCell ref="AR14:AR16"/>
    <mergeCell ref="AR17:AR19"/>
    <mergeCell ref="AR24:AR26"/>
    <mergeCell ref="AR27:AR29"/>
    <mergeCell ref="AR30:AR32"/>
    <mergeCell ref="AR33:AR35"/>
    <mergeCell ref="AR36:AR38"/>
    <mergeCell ref="AR39:AR41"/>
    <mergeCell ref="AR42:AR44"/>
    <mergeCell ref="AR46:AR48"/>
    <mergeCell ref="AR49:AR51"/>
    <mergeCell ref="AR52:AR54"/>
    <mergeCell ref="AR55:AR57"/>
    <mergeCell ref="AR58:AR60"/>
    <mergeCell ref="AR63:AR65"/>
    <mergeCell ref="AR66:AR68"/>
    <mergeCell ref="AR75:AR77"/>
    <mergeCell ref="AR78:AR80"/>
    <mergeCell ref="AR81:AR83"/>
    <mergeCell ref="AR84:AR86"/>
    <mergeCell ref="AR87:AR89"/>
    <mergeCell ref="AR90:AR92"/>
    <mergeCell ref="AR93:AR95"/>
    <mergeCell ref="AT55:AT57"/>
    <mergeCell ref="AT58:AT60"/>
    <mergeCell ref="AT63:AT65"/>
    <mergeCell ref="AT66:AT68"/>
    <mergeCell ref="AT75:AT77"/>
    <mergeCell ref="AT78:AT80"/>
    <mergeCell ref="AT81:AT83"/>
    <mergeCell ref="AT84:AT86"/>
    <mergeCell ref="AT87:AT89"/>
    <mergeCell ref="AT90:AT92"/>
    <mergeCell ref="AS5:AS10"/>
    <mergeCell ref="AS11:AS13"/>
    <mergeCell ref="AS14:AS16"/>
    <mergeCell ref="AS17:AS19"/>
    <mergeCell ref="AS24:AS26"/>
    <mergeCell ref="AS27:AS29"/>
    <mergeCell ref="AS30:AS32"/>
    <mergeCell ref="AS33:AS35"/>
    <mergeCell ref="AS36:AS38"/>
    <mergeCell ref="AS39:AS41"/>
    <mergeCell ref="AS42:AS44"/>
    <mergeCell ref="AS46:AS48"/>
    <mergeCell ref="AS49:AS51"/>
    <mergeCell ref="AS52:AS54"/>
    <mergeCell ref="AS55:AS57"/>
    <mergeCell ref="AS58:AS60"/>
    <mergeCell ref="AS63:AS65"/>
    <mergeCell ref="AT93:AT95"/>
    <mergeCell ref="AU77:AU98"/>
    <mergeCell ref="AA8:AG9"/>
    <mergeCell ref="AH8:AN9"/>
    <mergeCell ref="S6:AP7"/>
    <mergeCell ref="C5:D7"/>
    <mergeCell ref="AQ5:AR7"/>
    <mergeCell ref="E5:I7"/>
    <mergeCell ref="J5:M7"/>
    <mergeCell ref="N5:R7"/>
    <mergeCell ref="AS66:AS68"/>
    <mergeCell ref="AS75:AS77"/>
    <mergeCell ref="AS78:AS80"/>
    <mergeCell ref="AS81:AS83"/>
    <mergeCell ref="AS84:AS86"/>
    <mergeCell ref="AS87:AS89"/>
    <mergeCell ref="AS90:AS92"/>
    <mergeCell ref="AS93:AS95"/>
    <mergeCell ref="AT5:AT10"/>
    <mergeCell ref="AT11:AT13"/>
    <mergeCell ref="AT14:AT16"/>
    <mergeCell ref="AT17:AT19"/>
    <mergeCell ref="AT24:AT26"/>
    <mergeCell ref="AT27:AT29"/>
    <mergeCell ref="AT30:AT32"/>
    <mergeCell ref="AT33:AT35"/>
    <mergeCell ref="AT36:AT38"/>
    <mergeCell ref="AT39:AT41"/>
    <mergeCell ref="AT42:AT44"/>
    <mergeCell ref="AT46:AT48"/>
    <mergeCell ref="AT49:AT51"/>
    <mergeCell ref="AT52:AT54"/>
  </mergeCells>
  <conditionalFormatting sqref="H11:H60 H75:H95">
    <cfRule type="cellIs" dxfId="69" priority="75" operator="lessThan">
      <formula>6</formula>
    </cfRule>
    <cfRule type="cellIs" dxfId="68" priority="74" operator="equal">
      <formula>6</formula>
    </cfRule>
    <cfRule type="cellIs" dxfId="67" priority="73" operator="equal">
      <formula>0</formula>
    </cfRule>
  </conditionalFormatting>
  <conditionalFormatting sqref="Y62:AG62">
    <cfRule type="cellIs" dxfId="66" priority="43" operator="lessThan">
      <formula>1</formula>
    </cfRule>
    <cfRule type="cellIs" dxfId="65" priority="44" operator="greaterThan">
      <formula>1</formula>
    </cfRule>
  </conditionalFormatting>
  <conditionalFormatting sqref="AA63:AB63 AD63">
    <cfRule type="cellIs" dxfId="64" priority="69" operator="lessThan">
      <formula>10</formula>
    </cfRule>
  </conditionalFormatting>
  <conditionalFormatting sqref="AA66:AB66 AD66:AE66 AH66:AI66 AK66:AM66 AH69:AI73 AK69:AL73">
    <cfRule type="cellIs" dxfId="63" priority="57" operator="equal">
      <formula>10</formula>
    </cfRule>
  </conditionalFormatting>
  <conditionalFormatting sqref="AA66:AB66 AD66:AE66">
    <cfRule type="cellIs" dxfId="62" priority="68" operator="lessThan">
      <formula>10</formula>
    </cfRule>
  </conditionalFormatting>
  <conditionalFormatting sqref="AA69:AB73 AD69:AG73">
    <cfRule type="cellIs" dxfId="61" priority="61" operator="greaterThan">
      <formula>1</formula>
    </cfRule>
    <cfRule type="cellIs" dxfId="60" priority="60" operator="lessThan">
      <formula>1</formula>
    </cfRule>
  </conditionalFormatting>
  <conditionalFormatting sqref="AA46:AC46 AA52:AD52 AA55:AD55">
    <cfRule type="cellIs" dxfId="59" priority="70" operator="lessThan">
      <formula>10</formula>
    </cfRule>
  </conditionalFormatting>
  <conditionalFormatting sqref="AA52:AD58 AF58:AG58 AE58:AE60 AA62:AE62 AA63:AB73 AD63:AE73">
    <cfRule type="cellIs" dxfId="58" priority="12" operator="equal">
      <formula>1</formula>
    </cfRule>
  </conditionalFormatting>
  <conditionalFormatting sqref="AA58:AE58">
    <cfRule type="cellIs" dxfId="57" priority="63" operator="lessThan">
      <formula>10</formula>
    </cfRule>
  </conditionalFormatting>
  <conditionalFormatting sqref="AA11:AG11 AA12:AF13 AF14:AG14 AA14:AE16 AF15:AF16 AA17:AG17 AA18:AF19 AA25:AF26 AA27:AG27 AA28:AF30 AA33:AG33 AA34:AF35 AB36:AG36 AA36:AA38 AB37:AF38 AA39:AG39 AA40:AF41 AA42:AG42 AA43:AF44 AA45:AG46 AA47:AF48 AA49:AG49 AA50:AF51 AF52:AG52 AF53:AF54 AF55:AG55 AF56:AF57 AA59:AF60 AA75:AD87 AE87:AG87 AA88:AC89 AA90:AD95">
    <cfRule type="cellIs" dxfId="56" priority="67" operator="equal">
      <formula>1</formula>
    </cfRule>
  </conditionalFormatting>
  <conditionalFormatting sqref="AA20:AG24">
    <cfRule type="cellIs" dxfId="55" priority="3" operator="equal">
      <formula>1</formula>
    </cfRule>
  </conditionalFormatting>
  <conditionalFormatting sqref="AD17 Y45:AD45">
    <cfRule type="cellIs" dxfId="54" priority="71" operator="lessThan">
      <formula>1</formula>
    </cfRule>
    <cfRule type="cellIs" dxfId="53" priority="72" operator="greaterThan">
      <formula>1</formula>
    </cfRule>
  </conditionalFormatting>
  <conditionalFormatting sqref="AD24:AD30 AD33:AD44">
    <cfRule type="cellIs" dxfId="52" priority="78" operator="lessThan">
      <formula>1</formula>
    </cfRule>
    <cfRule type="cellIs" dxfId="51" priority="79" operator="greaterThan">
      <formula>1</formula>
    </cfRule>
  </conditionalFormatting>
  <conditionalFormatting sqref="AD46">
    <cfRule type="cellIs" dxfId="50" priority="76" operator="lessThan">
      <formula>1</formula>
    </cfRule>
    <cfRule type="cellIs" dxfId="49" priority="77" operator="greaterThan">
      <formula>1</formula>
    </cfRule>
  </conditionalFormatting>
  <conditionalFormatting sqref="AD49">
    <cfRule type="cellIs" dxfId="48" priority="19" operator="greaterThan">
      <formula>1</formula>
    </cfRule>
    <cfRule type="cellIs" dxfId="47" priority="18" operator="lessThan">
      <formula>1</formula>
    </cfRule>
  </conditionalFormatting>
  <conditionalFormatting sqref="AD11:AE16">
    <cfRule type="cellIs" dxfId="46" priority="41" operator="lessThan">
      <formula>1</formula>
    </cfRule>
    <cfRule type="cellIs" dxfId="45" priority="42" operator="greaterThan">
      <formula>1</formula>
    </cfRule>
  </conditionalFormatting>
  <conditionalFormatting sqref="AD20:AE23">
    <cfRule type="cellIs" dxfId="44" priority="2" operator="greaterThan">
      <formula>1</formula>
    </cfRule>
    <cfRule type="cellIs" dxfId="43" priority="1" operator="lessThan">
      <formula>1</formula>
    </cfRule>
  </conditionalFormatting>
  <conditionalFormatting sqref="AE62">
    <cfRule type="cellIs" dxfId="42" priority="14" operator="greaterThan">
      <formula>1</formula>
    </cfRule>
  </conditionalFormatting>
  <conditionalFormatting sqref="AF63:AF68">
    <cfRule type="cellIs" dxfId="41" priority="13" operator="equal">
      <formula>1</formula>
    </cfRule>
  </conditionalFormatting>
  <conditionalFormatting sqref="AH66:AI66 AK66:AM66 AH69:AI73 AK69:AL73">
    <cfRule type="cellIs" dxfId="40" priority="58" operator="lessThan">
      <formula>10</formula>
    </cfRule>
  </conditionalFormatting>
  <conditionalFormatting sqref="AH62:AL62 AH63:AI63 AK63:AM63">
    <cfRule type="cellIs" dxfId="39" priority="59" operator="lessThan">
      <formula>10</formula>
    </cfRule>
  </conditionalFormatting>
  <conditionalFormatting sqref="AO11:AO30 AO33:AO44 AO46:AO60">
    <cfRule type="cellIs" dxfId="38" priority="66" operator="lessThan">
      <formula>30</formula>
    </cfRule>
  </conditionalFormatting>
  <conditionalFormatting sqref="AO52:AO60 AO75:AO95">
    <cfRule type="cellIs" dxfId="37" priority="65" operator="lessThan">
      <formula>40</formula>
    </cfRule>
  </conditionalFormatting>
  <conditionalFormatting sqref="AO62:AO63 AO66 AO69:AO73">
    <cfRule type="cellIs" dxfId="36" priority="64" operator="lessThan">
      <formula>40</formula>
    </cfRule>
  </conditionalFormatting>
  <conditionalFormatting sqref="AO62:AO68">
    <cfRule type="cellIs" dxfId="35" priority="37" operator="greaterThan">
      <formula>39</formula>
    </cfRule>
  </conditionalFormatting>
  <conditionalFormatting sqref="AO75:AO95">
    <cfRule type="cellIs" dxfId="34" priority="39" operator="equal">
      <formula>40</formula>
    </cfRule>
  </conditionalFormatting>
  <conditionalFormatting sqref="AQ11:AQ46 AQ52 AQ55 AQ58">
    <cfRule type="cellIs" dxfId="33" priority="56" operator="lessThan">
      <formula>65</formula>
    </cfRule>
    <cfRule type="cellIs" dxfId="32" priority="55" operator="lessThan">
      <formula>55</formula>
    </cfRule>
    <cfRule type="cellIs" dxfId="31" priority="54" operator="equal">
      <formula>55</formula>
    </cfRule>
  </conditionalFormatting>
  <conditionalFormatting sqref="AQ11:AQ60 AO11:AO30 AO33:AO60 AQ62:AQ73">
    <cfRule type="cellIs" dxfId="30" priority="40" operator="greaterThan">
      <formula>29</formula>
    </cfRule>
  </conditionalFormatting>
  <conditionalFormatting sqref="AQ49">
    <cfRule type="cellIs" dxfId="29" priority="16" operator="lessThan">
      <formula>55</formula>
    </cfRule>
    <cfRule type="cellIs" dxfId="28" priority="17" operator="lessThan">
      <formula>65</formula>
    </cfRule>
    <cfRule type="cellIs" dxfId="27" priority="15" operator="equal">
      <formula>55</formula>
    </cfRule>
  </conditionalFormatting>
  <conditionalFormatting sqref="AQ62:AQ63 AQ66">
    <cfRule type="cellIs" dxfId="26" priority="53" operator="lessThan">
      <formula>65</formula>
    </cfRule>
    <cfRule type="cellIs" dxfId="25" priority="52" operator="lessThan">
      <formula>55</formula>
    </cfRule>
    <cfRule type="cellIs" dxfId="24" priority="51" operator="equal">
      <formula>55</formula>
    </cfRule>
  </conditionalFormatting>
  <conditionalFormatting sqref="AQ69:AQ73">
    <cfRule type="cellIs" dxfId="23" priority="48" operator="equal">
      <formula>55</formula>
    </cfRule>
    <cfRule type="cellIs" dxfId="22" priority="49" operator="lessThan">
      <formula>55</formula>
    </cfRule>
    <cfRule type="cellIs" dxfId="21" priority="50" operator="lessThan">
      <formula>65</formula>
    </cfRule>
  </conditionalFormatting>
  <conditionalFormatting sqref="AQ75 AQ78">
    <cfRule type="cellIs" dxfId="20" priority="45" operator="equal">
      <formula>55</formula>
    </cfRule>
    <cfRule type="cellIs" dxfId="19" priority="46" operator="lessThan">
      <formula>55</formula>
    </cfRule>
    <cfRule type="cellIs" dxfId="18" priority="47" operator="lessThan">
      <formula>65</formula>
    </cfRule>
  </conditionalFormatting>
  <conditionalFormatting sqref="AQ75:AQ95">
    <cfRule type="cellIs" dxfId="17" priority="38" operator="greaterThan">
      <formula>29</formula>
    </cfRule>
  </conditionalFormatting>
  <conditionalFormatting sqref="AQ81">
    <cfRule type="cellIs" dxfId="16" priority="31" operator="lessThan">
      <formula>65</formula>
    </cfRule>
    <cfRule type="cellIs" dxfId="15" priority="30" operator="lessThan">
      <formula>55</formula>
    </cfRule>
    <cfRule type="cellIs" dxfId="14" priority="29" operator="equal">
      <formula>55</formula>
    </cfRule>
  </conditionalFormatting>
  <conditionalFormatting sqref="AQ84 AQ87">
    <cfRule type="cellIs" dxfId="13" priority="28" operator="lessThan">
      <formula>65</formula>
    </cfRule>
    <cfRule type="cellIs" dxfId="12" priority="27" operator="lessThan">
      <formula>55</formula>
    </cfRule>
    <cfRule type="cellIs" dxfId="11" priority="26" operator="equal">
      <formula>55</formula>
    </cfRule>
  </conditionalFormatting>
  <conditionalFormatting sqref="AQ90">
    <cfRule type="cellIs" dxfId="10" priority="25" operator="lessThan">
      <formula>65</formula>
    </cfRule>
    <cfRule type="cellIs" dxfId="9" priority="24" operator="lessThan">
      <formula>55</formula>
    </cfRule>
    <cfRule type="cellIs" dxfId="8" priority="23" operator="equal">
      <formula>55</formula>
    </cfRule>
  </conditionalFormatting>
  <conditionalFormatting sqref="AQ93">
    <cfRule type="cellIs" dxfId="7" priority="22" operator="lessThan">
      <formula>65</formula>
    </cfRule>
    <cfRule type="cellIs" dxfId="6" priority="21" operator="lessThan">
      <formula>55</formula>
    </cfRule>
    <cfRule type="cellIs" dxfId="5" priority="20" operator="equal">
      <formula>55</formula>
    </cfRule>
  </conditionalFormatting>
  <conditionalFormatting sqref="AS97">
    <cfRule type="cellIs" dxfId="4" priority="36" operator="between">
      <formula>0.8</formula>
      <formula>1</formula>
    </cfRule>
    <cfRule type="cellIs" dxfId="3" priority="35" operator="between">
      <formula>0.6</formula>
      <formula>0.79</formula>
    </cfRule>
    <cfRule type="cellIs" dxfId="2" priority="34" operator="between">
      <formula>0</formula>
      <formula>59</formula>
    </cfRule>
    <cfRule type="cellIs" dxfId="1" priority="33" operator="between">
      <formula>0</formula>
      <formula>0.59</formula>
    </cfRule>
    <cfRule type="cellIs" dxfId="0" priority="32" operator="between">
      <formula>80</formula>
      <formula>1</formula>
    </cfRule>
  </conditionalFormatting>
  <dataValidations count="9">
    <dataValidation type="list" showInputMessage="1" showErrorMessage="1" sqref="E4:I4" xr:uid="{00000000-0002-0000-0000-000000000000}">
      <formula1>"Cross River"</formula1>
    </dataValidation>
    <dataValidation type="list" showInputMessage="1" showErrorMessage="1" errorTitle="Invalid" error="Select from the drop-down list" prompt="Select from the drop-down list" sqref="N4:R4" xr:uid="{00000000-0002-0000-0000-000001000000}">
      <formula1>"Abi, Akamkpa, Akpabuyo, Bakassi, Biase, Boki, Calabar Municipal, Calabar south, Ikom, Obanliku, Obubra, Obudu, Odukpani, Ogoja, Yakurr, Yala"</formula1>
    </dataValidation>
    <dataValidation type="list" showInputMessage="1" showErrorMessage="1" errorTitle="Invalid" error="Select from the drop-down list" prompt="Select DQA date of commencement from the drop-down list" sqref="AE4:AI4" xr:uid="{00000000-0002-0000-0000-000003000000}">
      <formula1>"12/1/2026,13/1/2026,14/1/2026,15/1/2026,16/1/2026,"</formula1>
    </dataValidation>
    <dataValidation type="list" allowBlank="1" showInputMessage="1" showErrorMessage="1" sqref="AP4:AT4" xr:uid="{00000000-0002-0000-0000-000004000000}">
      <formula1>"FY26 Q1, FY26 Q2, FY26 Q3, FY26 Q4"</formula1>
    </dataValidation>
    <dataValidation type="decimal" errorStyle="warning" operator="lessThanOrEqual" allowBlank="1" showInputMessage="1" showErrorMessage="1" sqref="AD17 Z45:AC45 AE45:AG45 AD49 AA62:AD62 AD20:AD30 AD33:AD46 AA69:AD73" xr:uid="{00000000-0002-0000-0000-000005000000}">
      <formula1>1.05</formula1>
    </dataValidation>
    <dataValidation type="whole" operator="lessThanOrEqual" allowBlank="1" showInputMessage="1" showErrorMessage="1" sqref="AS24:AT24 AS27:AT27 AS36:AT36 AS39:AT39 AS42:AT42 AS52:AT52 J62:K68 J33:K60 J75:K95 J11:K30" xr:uid="{00000000-0002-0000-0000-000006000000}">
      <formula1>2</formula1>
    </dataValidation>
    <dataValidation type="decimal" errorStyle="warning" showInputMessage="1" showErrorMessage="1" sqref="AD11:AE16" xr:uid="{00000000-0002-0000-0000-000007000000}">
      <formula1>0.1</formula1>
      <formula2>1.05</formula2>
    </dataValidation>
    <dataValidation type="whole" operator="lessThanOrEqual" showInputMessage="1" showErrorMessage="1" sqref="E33:G60 E62:G73 E11:G30 E90:G97 E75:G87 J69:K73" xr:uid="{00000000-0002-0000-0000-000008000000}">
      <formula1>2</formula1>
    </dataValidation>
    <dataValidation type="whole" operator="lessThanOrEqual" allowBlank="1" showInputMessage="1" showErrorMessage="1" sqref="N33:P60 N62:P73 N11:P30 N75:P95" xr:uid="{00000000-0002-0000-0000-000009000000}">
      <formula1>5</formula1>
    </dataValidation>
  </dataValidations>
  <pageMargins left="0.7" right="0.7" top="0.75" bottom="0.75" header="0.3" footer="0.3"/>
  <pageSetup orientation="portrait"/>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2000000}">
          <x14:formula1>
            <xm:f>Sheet1!$A$1:$A$64</xm:f>
          </x14:formula1>
          <xm:sqref>V4:Z4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4"/>
  <sheetViews>
    <sheetView topLeftCell="A39" workbookViewId="0">
      <selection activeCell="G8" sqref="G8"/>
    </sheetView>
  </sheetViews>
  <sheetFormatPr defaultColWidth="9" defaultRowHeight="13.5" x14ac:dyDescent="0.3"/>
  <sheetData>
    <row r="1" spans="1:1" x14ac:dyDescent="0.3">
      <c r="A1" t="s">
        <v>117</v>
      </c>
    </row>
    <row r="2" spans="1:1" x14ac:dyDescent="0.3">
      <c r="A2" t="s">
        <v>118</v>
      </c>
    </row>
    <row r="3" spans="1:1" x14ac:dyDescent="0.3">
      <c r="A3" t="s">
        <v>119</v>
      </c>
    </row>
    <row r="4" spans="1:1" x14ac:dyDescent="0.3">
      <c r="A4" t="s">
        <v>120</v>
      </c>
    </row>
    <row r="5" spans="1:1" x14ac:dyDescent="0.3">
      <c r="A5" t="s">
        <v>121</v>
      </c>
    </row>
    <row r="6" spans="1:1" x14ac:dyDescent="0.3">
      <c r="A6" t="s">
        <v>122</v>
      </c>
    </row>
    <row r="7" spans="1:1" x14ac:dyDescent="0.3">
      <c r="A7" t="s">
        <v>123</v>
      </c>
    </row>
    <row r="8" spans="1:1" x14ac:dyDescent="0.3">
      <c r="A8" t="s">
        <v>124</v>
      </c>
    </row>
    <row r="9" spans="1:1" x14ac:dyDescent="0.3">
      <c r="A9" t="s">
        <v>125</v>
      </c>
    </row>
    <row r="10" spans="1:1" x14ac:dyDescent="0.3">
      <c r="A10" t="s">
        <v>126</v>
      </c>
    </row>
    <row r="11" spans="1:1" x14ac:dyDescent="0.3">
      <c r="A11" t="s">
        <v>127</v>
      </c>
    </row>
    <row r="12" spans="1:1" x14ac:dyDescent="0.3">
      <c r="A12" t="s">
        <v>128</v>
      </c>
    </row>
    <row r="13" spans="1:1" x14ac:dyDescent="0.3">
      <c r="A13" t="s">
        <v>129</v>
      </c>
    </row>
    <row r="14" spans="1:1" x14ac:dyDescent="0.3">
      <c r="A14" t="s">
        <v>130</v>
      </c>
    </row>
    <row r="15" spans="1:1" x14ac:dyDescent="0.3">
      <c r="A15" t="s">
        <v>131</v>
      </c>
    </row>
    <row r="16" spans="1:1" x14ac:dyDescent="0.3">
      <c r="A16" t="s">
        <v>132</v>
      </c>
    </row>
    <row r="17" spans="1:1" x14ac:dyDescent="0.3">
      <c r="A17" t="s">
        <v>133</v>
      </c>
    </row>
    <row r="18" spans="1:1" x14ac:dyDescent="0.3">
      <c r="A18" t="s">
        <v>134</v>
      </c>
    </row>
    <row r="19" spans="1:1" x14ac:dyDescent="0.3">
      <c r="A19" t="s">
        <v>135</v>
      </c>
    </row>
    <row r="20" spans="1:1" x14ac:dyDescent="0.3">
      <c r="A20" t="s">
        <v>136</v>
      </c>
    </row>
    <row r="21" spans="1:1" x14ac:dyDescent="0.3">
      <c r="A21" t="s">
        <v>137</v>
      </c>
    </row>
    <row r="22" spans="1:1" x14ac:dyDescent="0.3">
      <c r="A22" t="s">
        <v>138</v>
      </c>
    </row>
    <row r="23" spans="1:1" x14ac:dyDescent="0.3">
      <c r="A23" t="s">
        <v>139</v>
      </c>
    </row>
    <row r="24" spans="1:1" x14ac:dyDescent="0.3">
      <c r="A24" t="s">
        <v>140</v>
      </c>
    </row>
    <row r="25" spans="1:1" x14ac:dyDescent="0.3">
      <c r="A25" t="s">
        <v>141</v>
      </c>
    </row>
    <row r="26" spans="1:1" x14ac:dyDescent="0.3">
      <c r="A26" t="s">
        <v>142</v>
      </c>
    </row>
    <row r="27" spans="1:1" x14ac:dyDescent="0.3">
      <c r="A27" t="s">
        <v>143</v>
      </c>
    </row>
    <row r="28" spans="1:1" x14ac:dyDescent="0.3">
      <c r="A28" t="s">
        <v>144</v>
      </c>
    </row>
    <row r="29" spans="1:1" x14ac:dyDescent="0.3">
      <c r="A29" t="s">
        <v>145</v>
      </c>
    </row>
    <row r="30" spans="1:1" x14ac:dyDescent="0.3">
      <c r="A30" t="s">
        <v>146</v>
      </c>
    </row>
    <row r="31" spans="1:1" x14ac:dyDescent="0.3">
      <c r="A31" t="s">
        <v>147</v>
      </c>
    </row>
    <row r="32" spans="1:1" x14ac:dyDescent="0.3">
      <c r="A32" t="s">
        <v>148</v>
      </c>
    </row>
    <row r="33" spans="1:1" x14ac:dyDescent="0.3">
      <c r="A33" t="s">
        <v>149</v>
      </c>
    </row>
    <row r="34" spans="1:1" x14ac:dyDescent="0.3">
      <c r="A34" t="s">
        <v>150</v>
      </c>
    </row>
    <row r="35" spans="1:1" x14ac:dyDescent="0.3">
      <c r="A35" t="s">
        <v>151</v>
      </c>
    </row>
    <row r="36" spans="1:1" x14ac:dyDescent="0.3">
      <c r="A36" t="s">
        <v>152</v>
      </c>
    </row>
    <row r="37" spans="1:1" x14ac:dyDescent="0.3">
      <c r="A37" t="s">
        <v>153</v>
      </c>
    </row>
    <row r="38" spans="1:1" x14ac:dyDescent="0.3">
      <c r="A38" t="s">
        <v>154</v>
      </c>
    </row>
    <row r="39" spans="1:1" x14ac:dyDescent="0.3">
      <c r="A39" t="s">
        <v>155</v>
      </c>
    </row>
    <row r="40" spans="1:1" x14ac:dyDescent="0.3">
      <c r="A40" t="s">
        <v>156</v>
      </c>
    </row>
    <row r="41" spans="1:1" x14ac:dyDescent="0.3">
      <c r="A41" t="s">
        <v>157</v>
      </c>
    </row>
    <row r="42" spans="1:1" x14ac:dyDescent="0.3">
      <c r="A42" t="s">
        <v>158</v>
      </c>
    </row>
    <row r="43" spans="1:1" x14ac:dyDescent="0.3">
      <c r="A43" t="s">
        <v>159</v>
      </c>
    </row>
    <row r="44" spans="1:1" x14ac:dyDescent="0.3">
      <c r="A44" t="s">
        <v>160</v>
      </c>
    </row>
    <row r="45" spans="1:1" x14ac:dyDescent="0.3">
      <c r="A45" t="s">
        <v>161</v>
      </c>
    </row>
    <row r="46" spans="1:1" x14ac:dyDescent="0.3">
      <c r="A46" t="s">
        <v>162</v>
      </c>
    </row>
    <row r="47" spans="1:1" x14ac:dyDescent="0.3">
      <c r="A47" t="s">
        <v>163</v>
      </c>
    </row>
    <row r="48" spans="1:1" x14ac:dyDescent="0.3">
      <c r="A48" t="s">
        <v>4</v>
      </c>
    </row>
    <row r="49" spans="1:1" x14ac:dyDescent="0.3">
      <c r="A49" t="s">
        <v>164</v>
      </c>
    </row>
    <row r="50" spans="1:1" x14ac:dyDescent="0.3">
      <c r="A50" t="s">
        <v>165</v>
      </c>
    </row>
    <row r="51" spans="1:1" x14ac:dyDescent="0.3">
      <c r="A51" t="s">
        <v>166</v>
      </c>
    </row>
    <row r="52" spans="1:1" x14ac:dyDescent="0.3">
      <c r="A52" t="s">
        <v>167</v>
      </c>
    </row>
    <row r="53" spans="1:1" x14ac:dyDescent="0.3">
      <c r="A53" t="s">
        <v>168</v>
      </c>
    </row>
    <row r="54" spans="1:1" x14ac:dyDescent="0.3">
      <c r="A54" t="s">
        <v>169</v>
      </c>
    </row>
    <row r="55" spans="1:1" x14ac:dyDescent="0.3">
      <c r="A55" t="s">
        <v>170</v>
      </c>
    </row>
    <row r="56" spans="1:1" x14ac:dyDescent="0.3">
      <c r="A56" t="s">
        <v>171</v>
      </c>
    </row>
    <row r="57" spans="1:1" x14ac:dyDescent="0.3">
      <c r="A57" t="s">
        <v>172</v>
      </c>
    </row>
    <row r="58" spans="1:1" x14ac:dyDescent="0.3">
      <c r="A58" t="s">
        <v>173</v>
      </c>
    </row>
    <row r="59" spans="1:1" x14ac:dyDescent="0.3">
      <c r="A59" t="s">
        <v>174</v>
      </c>
    </row>
    <row r="60" spans="1:1" x14ac:dyDescent="0.3">
      <c r="A60" t="s">
        <v>175</v>
      </c>
    </row>
    <row r="61" spans="1:1" x14ac:dyDescent="0.3">
      <c r="A61" t="s">
        <v>176</v>
      </c>
    </row>
    <row r="62" spans="1:1" x14ac:dyDescent="0.3">
      <c r="A62" t="s">
        <v>177</v>
      </c>
    </row>
    <row r="63" spans="1:1" x14ac:dyDescent="0.3">
      <c r="A63" t="s">
        <v>178</v>
      </c>
    </row>
    <row r="64" spans="1:1" x14ac:dyDescent="0.3">
      <c r="A64" t="s">
        <v>179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9272A33A7E284584DB2BEBCE1B7E5F" ma:contentTypeVersion="15" ma:contentTypeDescription="Create a new document." ma:contentTypeScope="" ma:versionID="72b63db6c2177d5ab381ef36df865331">
  <xsd:schema xmlns:xsd="http://www.w3.org/2001/XMLSchema" xmlns:xs="http://www.w3.org/2001/XMLSchema" xmlns:p="http://schemas.microsoft.com/office/2006/metadata/properties" xmlns:ns3="2d2a341f-89c6-405d-8212-c8834c38c357" xmlns:ns4="a5ef0d43-a5b8-4528-a952-043cbfeba2d2" targetNamespace="http://schemas.microsoft.com/office/2006/metadata/properties" ma:root="true" ma:fieldsID="91dc32fa856b81f7b2454f8682787dc0" ns3:_="" ns4:_="">
    <xsd:import namespace="2d2a341f-89c6-405d-8212-c8834c38c357"/>
    <xsd:import namespace="a5ef0d43-a5b8-4528-a952-043cbfeba2d2"/>
    <xsd:element name="properties">
      <xsd:complexType>
        <xsd:sequence>
          <xsd:element name="documentManagement">
            <xsd:complexType>
              <xsd:all>
                <xsd:element ref="ns3:MediaServiceMetadata" minOccurs="0"/>
                <xsd:element ref="ns3:MediaServiceFastMetadata" minOccurs="0"/>
                <xsd:element ref="ns3:_activity" minOccurs="0"/>
                <xsd:element ref="ns4:SharedWithUsers" minOccurs="0"/>
                <xsd:element ref="ns4:SharedWithDetails" minOccurs="0"/>
                <xsd:element ref="ns4:SharingHintHash" minOccurs="0"/>
                <xsd:element ref="ns3:MediaServiceObjectDetectorVersions" minOccurs="0"/>
                <xsd:element ref="ns3:MediaServiceDateTaken" minOccurs="0"/>
                <xsd:element ref="ns3:MediaServiceAutoTags" minOccurs="0"/>
                <xsd:element ref="ns3:MediaServiceGenerationTime" minOccurs="0"/>
                <xsd:element ref="ns3:MediaServiceEventHashCode" minOccurs="0"/>
                <xsd:element ref="ns3:MediaLengthInSeconds" minOccurs="0"/>
                <xsd:element ref="ns3:MediaServiceSystemTags"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2a341f-89c6-405d-8212-c8834c38c35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ef0d43-a5b8-4528-a952-043cbfeba2d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2d2a341f-89c6-405d-8212-c8834c38c35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2C3D45A-EA36-41A5-AF33-346E7B808857}">
  <ds:schemaRefs/>
</ds:datastoreItem>
</file>

<file path=customXml/itemProps2.xml><?xml version="1.0" encoding="utf-8"?>
<ds:datastoreItem xmlns:ds="http://schemas.openxmlformats.org/officeDocument/2006/customXml" ds:itemID="{F656D70C-3360-4A8B-A0D6-0AF3F675871D}">
  <ds:schemaRefs/>
</ds:datastoreItem>
</file>

<file path=customXml/itemProps3.xml><?xml version="1.0" encoding="utf-8"?>
<ds:datastoreItem xmlns:ds="http://schemas.openxmlformats.org/officeDocument/2006/customXml" ds:itemID="{72140E2B-78B5-4F9A-8FC6-AB3E8D6227C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DVV template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CRS QAQI</dc:creator>
  <cp:lastModifiedBy>Luwizatu Adamu</cp:lastModifiedBy>
  <dcterms:created xsi:type="dcterms:W3CDTF">2025-10-29T20:18:00Z</dcterms:created>
  <dcterms:modified xsi:type="dcterms:W3CDTF">2026-02-05T14:30:38Z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0x010100599272A33A7E284584DB2BEBCE1B7E5F</vt:lpwstr>
  </property>
  <property fmtid="{D5CDD505-2E9C-101B-9397-08002B2CF9AE}" pid="3" name="ICV">
    <vt:lpwstr>B263AD42FA43483AAB5C1B40D5715A50_12</vt:lpwstr>
  </property>
  <property fmtid="{D5CDD505-2E9C-101B-9397-08002B2CF9AE}" pid="4" name="KSOProductBuildVer">
    <vt:lpwstr>1033-12.2.0.23196</vt:lpwstr>
  </property>
</Properties>
</file>