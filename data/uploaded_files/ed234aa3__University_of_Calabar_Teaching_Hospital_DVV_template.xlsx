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52D951F1-1A07-43B4-AA6C-22D4BC91DA3A}"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1" l="1"/>
  <c r="L22" i="1"/>
  <c r="L21" i="1"/>
  <c r="L20" i="1"/>
  <c r="AQ96" i="1"/>
  <c r="AO96" i="1"/>
  <c r="AD73" i="1"/>
  <c r="AP61" i="1"/>
  <c r="AP96" i="1"/>
  <c r="AR96" i="1"/>
  <c r="H61" i="1"/>
  <c r="L55" i="1"/>
  <c r="H70" i="1"/>
  <c r="H71" i="1"/>
  <c r="H72" i="1"/>
  <c r="H73" i="1"/>
  <c r="H69" i="1"/>
  <c r="H66" i="1"/>
  <c r="H63" i="1"/>
  <c r="H62" i="1"/>
  <c r="Q39" i="1"/>
  <c r="Q36" i="1"/>
  <c r="Q33" i="1"/>
  <c r="Q30" i="1"/>
  <c r="Q27" i="1"/>
  <c r="AF23" i="1" l="1"/>
  <c r="AM23" i="1" s="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Q21" i="1"/>
  <c r="H21" i="1"/>
  <c r="AR20" i="1"/>
  <c r="AC20" i="1"/>
  <c r="AJ20" i="1" s="1"/>
  <c r="AB20" i="1"/>
  <c r="AI20" i="1" s="1"/>
  <c r="AA20" i="1"/>
  <c r="AH20" i="1" s="1"/>
  <c r="Q20" i="1"/>
  <c r="H20" i="1"/>
  <c r="AO23" i="1" l="1"/>
  <c r="AO22" i="1"/>
  <c r="AQ22" i="1" s="1"/>
  <c r="AO20" i="1"/>
  <c r="AQ20" i="1" s="1"/>
  <c r="AO21" i="1"/>
  <c r="AQ21" i="1" s="1"/>
  <c r="AQ23" i="1" l="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E75" i="1"/>
  <c r="AL75" i="1" s="1"/>
  <c r="AD75" i="1"/>
  <c r="AK75" i="1" s="1"/>
  <c r="AB75" i="1"/>
  <c r="AI75" i="1" s="1"/>
  <c r="AA75" i="1"/>
  <c r="AH75" i="1" s="1"/>
  <c r="Q75" i="1"/>
  <c r="L75" i="1"/>
  <c r="H75" i="1"/>
  <c r="AP74" i="1"/>
  <c r="R74" i="1"/>
  <c r="M74" i="1"/>
  <c r="I74" i="1"/>
  <c r="AR73" i="1"/>
  <c r="AE73" i="1"/>
  <c r="AL73" i="1" s="1"/>
  <c r="AK73" i="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D62" i="1"/>
  <c r="AC62" i="1"/>
  <c r="AB62" i="1"/>
  <c r="AA62" i="1"/>
  <c r="Q62" i="1"/>
  <c r="L62" i="1"/>
  <c r="H74" i="1"/>
  <c r="AP97" i="1"/>
  <c r="R61" i="1"/>
  <c r="M61" i="1"/>
  <c r="I61" i="1"/>
  <c r="AR58" i="1"/>
  <c r="AF58" i="1"/>
  <c r="AM58" i="1" s="1"/>
  <c r="AE58" i="1"/>
  <c r="AL58" i="1" s="1"/>
  <c r="AD58" i="1"/>
  <c r="AK58" i="1" s="1"/>
  <c r="AC58" i="1"/>
  <c r="AJ58" i="1" s="1"/>
  <c r="AB58" i="1"/>
  <c r="AI58" i="1" s="1"/>
  <c r="AA58" i="1"/>
  <c r="AH58" i="1" s="1"/>
  <c r="Q58" i="1"/>
  <c r="L58" i="1"/>
  <c r="AR55" i="1"/>
  <c r="AF55" i="1"/>
  <c r="AM55" i="1" s="1"/>
  <c r="AD55" i="1"/>
  <c r="AK55" i="1" s="1"/>
  <c r="AC55" i="1"/>
  <c r="AJ55" i="1" s="1"/>
  <c r="AB55" i="1"/>
  <c r="AI55" i="1" s="1"/>
  <c r="AA55" i="1"/>
  <c r="AH55" i="1" s="1"/>
  <c r="Q55" i="1"/>
  <c r="AR52" i="1"/>
  <c r="AF52" i="1"/>
  <c r="AM52" i="1" s="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D45" i="1"/>
  <c r="AK45" i="1" s="1"/>
  <c r="AC45" i="1"/>
  <c r="AJ45" i="1" s="1"/>
  <c r="AB45" i="1"/>
  <c r="AI45" i="1" s="1"/>
  <c r="AA45" i="1"/>
  <c r="AH45" i="1" s="1"/>
  <c r="Q45" i="1"/>
  <c r="L45" i="1"/>
  <c r="AR42" i="1"/>
  <c r="AG42" i="1"/>
  <c r="AN42" i="1" s="1"/>
  <c r="AC42" i="1"/>
  <c r="AJ42" i="1" s="1"/>
  <c r="AB42" i="1"/>
  <c r="AI42" i="1" s="1"/>
  <c r="AA42" i="1"/>
  <c r="AH42" i="1" s="1"/>
  <c r="Q42" i="1"/>
  <c r="L42" i="1"/>
  <c r="AR39" i="1"/>
  <c r="AG39" i="1"/>
  <c r="AN39" i="1" s="1"/>
  <c r="AC39" i="1"/>
  <c r="AJ39" i="1" s="1"/>
  <c r="AB39" i="1"/>
  <c r="AI39" i="1" s="1"/>
  <c r="AA39" i="1"/>
  <c r="AH39" i="1" s="1"/>
  <c r="L39" i="1"/>
  <c r="AR36" i="1"/>
  <c r="AG36" i="1"/>
  <c r="AN36" i="1" s="1"/>
  <c r="AC36" i="1"/>
  <c r="AJ36" i="1" s="1"/>
  <c r="AB36" i="1"/>
  <c r="AI36" i="1" s="1"/>
  <c r="AA36" i="1"/>
  <c r="AH36" i="1" s="1"/>
  <c r="L36" i="1"/>
  <c r="AR33" i="1"/>
  <c r="AC33" i="1"/>
  <c r="AJ33" i="1" s="1"/>
  <c r="AB33" i="1"/>
  <c r="AI33" i="1" s="1"/>
  <c r="AA33" i="1"/>
  <c r="AH33" i="1" s="1"/>
  <c r="L33" i="1"/>
  <c r="AR30" i="1"/>
  <c r="AG30" i="1"/>
  <c r="AD30" i="1"/>
  <c r="AK30" i="1" s="1"/>
  <c r="AC30" i="1"/>
  <c r="AJ30" i="1" s="1"/>
  <c r="AB30" i="1"/>
  <c r="AI30" i="1" s="1"/>
  <c r="AA30" i="1"/>
  <c r="AH30" i="1" s="1"/>
  <c r="L30" i="1"/>
  <c r="AR27" i="1"/>
  <c r="L27" i="1"/>
  <c r="AR24" i="1"/>
  <c r="AC24" i="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AO46" i="1" l="1"/>
  <c r="AQ46" i="1" s="1"/>
  <c r="H96" i="1"/>
  <c r="H97" i="1" s="1"/>
  <c r="AO24" i="1"/>
  <c r="AO71" i="1"/>
  <c r="AR74" i="1"/>
  <c r="AO45" i="1"/>
  <c r="AQ45" i="1" s="1"/>
  <c r="AO49" i="1"/>
  <c r="AQ49" i="1" s="1"/>
  <c r="AQ55" i="1"/>
  <c r="AO66" i="1"/>
  <c r="AO73" i="1"/>
  <c r="AQ73" i="1" s="1"/>
  <c r="AQ52" i="1"/>
  <c r="AO62" i="1"/>
  <c r="AQ62" i="1" s="1"/>
  <c r="AO78" i="1"/>
  <c r="AQ78" i="1" s="1"/>
  <c r="AO69" i="1"/>
  <c r="AQ69" i="1" s="1"/>
  <c r="AO75" i="1"/>
  <c r="AQ75" i="1" s="1"/>
  <c r="AO63" i="1"/>
  <c r="AQ63" i="1" s="1"/>
  <c r="R97" i="1"/>
  <c r="AO58" i="1"/>
  <c r="AQ58" i="1" s="1"/>
  <c r="AQ70" i="1"/>
  <c r="I97" i="1"/>
  <c r="M97" i="1"/>
  <c r="AO17" i="1"/>
  <c r="AQ17" i="1" s="1"/>
  <c r="AO14" i="1"/>
  <c r="AQ14" i="1" s="1"/>
  <c r="AO11" i="1"/>
  <c r="AQ11" i="1" s="1"/>
  <c r="AR61" i="1"/>
  <c r="AR97" i="1" s="1"/>
  <c r="AO90" i="1"/>
  <c r="AQ90" i="1" s="1"/>
  <c r="AO87" i="1"/>
  <c r="AQ87" i="1" s="1"/>
  <c r="AO93" i="1"/>
  <c r="AO30" i="1"/>
  <c r="AQ30" i="1" s="1"/>
  <c r="Q96" i="1"/>
  <c r="Q74" i="1"/>
  <c r="Q61" i="1"/>
  <c r="L96" i="1"/>
  <c r="L74" i="1"/>
  <c r="L61" i="1"/>
  <c r="AQ71" i="1"/>
  <c r="AO81" i="1"/>
  <c r="AQ81" i="1" s="1"/>
  <c r="AO33" i="1"/>
  <c r="AQ33" i="1" s="1"/>
  <c r="AO36" i="1"/>
  <c r="AQ36" i="1" s="1"/>
  <c r="AO84" i="1"/>
  <c r="AQ84" i="1" s="1"/>
  <c r="AO42" i="1"/>
  <c r="AQ42" i="1" s="1"/>
  <c r="AO39" i="1"/>
  <c r="AQ39" i="1" s="1"/>
  <c r="AQ66" i="1"/>
  <c r="AQ93" i="1"/>
  <c r="AQ72" i="1"/>
  <c r="AQ24" i="1" l="1"/>
  <c r="AO74" i="1"/>
  <c r="J97" i="1"/>
  <c r="Q97" i="1"/>
  <c r="S97" i="1" s="1"/>
  <c r="L97" i="1"/>
  <c r="N97" i="1" s="1"/>
  <c r="AQ74" i="1"/>
  <c r="AA27" i="1" l="1"/>
  <c r="AH27" i="1" s="1"/>
  <c r="AB27" i="1"/>
  <c r="AI27" i="1" s="1"/>
  <c r="AD27" i="1"/>
  <c r="AG27" i="1"/>
  <c r="AN27" i="1" s="1"/>
  <c r="AC27" i="1"/>
  <c r="AO27" i="1" l="1"/>
  <c r="AO61" i="1" s="1"/>
  <c r="AO97" i="1" s="1"/>
  <c r="AM97" i="1" l="1"/>
  <c r="AQ27" i="1"/>
  <c r="AQ61" i="1" s="1"/>
  <c r="AQ97" i="1" s="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DQA % Score</t>
        </r>
      </text>
    </comment>
  </commentList>
</comments>
</file>

<file path=xl/sharedStrings.xml><?xml version="1.0" encoding="utf-8"?>
<sst xmlns="http://schemas.openxmlformats.org/spreadsheetml/2006/main" count="192" uniqueCount="179">
  <si>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</si>
  <si>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</si>
  <si>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</si>
  <si>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</si>
  <si>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</si>
  <si>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</si>
  <si>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</si>
  <si>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</si>
  <si>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</si>
  <si>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</si>
  <si>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</si>
  <si>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</si>
  <si>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</si>
  <si>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</si>
  <si>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</si>
  <si>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</si>
  <si>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</si>
  <si>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</si>
  <si>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</si>
  <si>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</si>
  <si>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</si>
  <si>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</si>
  <si>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</si>
  <si>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</si>
  <si>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</si>
  <si>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</si>
  <si>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</si>
  <si>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</si>
  <si>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</si>
  <si>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</si>
  <si>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</si>
  <si>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</si>
  <si>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</si>
  <si>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</si>
  <si>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</si>
  <si>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</si>
  <si>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</si>
  <si>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</si>
  <si>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</si>
  <si>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</si>
  <si>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</si>
  <si>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</si>
  <si>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</si>
  <si>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</si>
  <si>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</si>
  <si>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</si>
  <si>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</si>
  <si>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</si>
  <si>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</si>
  <si>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</si>
  <si>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</si>
  <si>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</si>
  <si>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</si>
  <si>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</si>
  <si>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</si>
  <si>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</si>
  <si>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</si>
  <si>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</si>
  <si>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</si>
  <si>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</si>
  <si>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</si>
  <si>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</si>
  <si>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</si>
  <si>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</si>
  <si>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</si>
  <si>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</si>
  <si>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</si>
  <si>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</si>
  <si>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</si>
  <si>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</si>
  <si>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</si>
  <si>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</si>
  <si>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</si>
  <si>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</si>
  <si>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</si>
  <si>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</si>
  <si>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</si>
  <si>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</si>
  <si>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</si>
  <si>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</si>
  <si>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</si>
  <si>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</si>
  <si>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</si>
  <si>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</si>
  <si>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</si>
  <si>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</si>
  <si>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</si>
  <si>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</si>
  <si>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</si>
  <si>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</si>
  <si>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</si>
  <si>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</si>
  <si>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</si>
  <si>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</si>
  <si>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</si>
  <si>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</si>
  <si>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</si>
  <si>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</si>
  <si>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</si>
  <si>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</si>
  <si>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</si>
  <si>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</si>
  <si>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</si>
  <si>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</si>
  <si>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</si>
  <si>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</si>
  <si>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</si>
  <si>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</si>
  <si>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</si>
  <si>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</si>
  <si>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</si>
  <si>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</si>
  <si>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</si>
  <si>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Name_Naomi Uche_____________________________________  Designation: __________________ Signature: ___________ Date: ________</t>
  </si>
  <si>
    <t>Facility FP:  Name_______________________________________  Designation: _____________________ Signature: ___________ Date: __________</t>
  </si>
  <si>
    <t>University of Calabar Teaching Hospital</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</si>
  <si>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</si>
  <si>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</si>
  <si>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</si>
  <si>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</si>
  <si>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</si>
  <si>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</si>
  <si>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</si>
  <si>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</si>
  <si>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</si>
  <si>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</si>
  <si>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</si>
  <si>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</si>
  <si>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</si>
  <si>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</si>
  <si>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</si>
  <si>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</si>
  <si>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</si>
  <si>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</si>
  <si>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</si>
  <si>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</si>
  <si>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</si>
  <si>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</si>
  <si>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</si>
  <si>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</si>
  <si>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</si>
  <si>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</si>
  <si>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</si>
  <si>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</si>
  <si>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</si>
  <si>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</si>
  <si>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</si>
  <si>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</si>
  <si>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</si>
  <si>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</si>
  <si>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</si>
  <si>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</si>
  <si>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</si>
  <si>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</si>
  <si>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</si>
  <si>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</si>
  <si>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</si>
  <si>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</si>
  <si>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</si>
  <si>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</si>
  <si>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</si>
  <si>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</si>
  <si>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</si>
  <si>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</si>
  <si>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</si>
  <si>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</si>
  <si>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</si>
  <si>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</si>
  <si>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</si>
  <si>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</si>
  <si>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</si>
  <si>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</si>
  <si>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</si>
  <si>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</si>
  <si>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</si>
  <si>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</si>
  <si>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</si>
  <si>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Wanihem Comprehensive Health Centre</t>
  </si>
  <si>
    <t>Yala Lutheran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</si>
</sst>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9"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
      <b/>
      <sz val="12"/>
      <color theme="1"/>
      <name val="Aptos Narrow"/>
      <family val="2"/>
      <charset val="134"/>
      <scheme val="minor"/>
    </font>
    <font>
      <b/>
      <sz val="12"/>
      <name val="Aptos Narrow"/>
      <family val="2"/>
      <charset val="134"/>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55">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68"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7" fillId="0" borderId="30" xfId="0" applyFont="1" applyBorder="1" applyAlignment="1" applyProtection="1">
      <alignment horizontal="center" vertical="center" wrapText="1"/>
      <protection locked="0"/>
    </xf>
    <xf numFmtId="0" fontId="27" fillId="0" borderId="31" xfId="0" applyFont="1" applyBorder="1" applyAlignment="1" applyProtection="1">
      <alignment horizontal="center" vertical="center" wrapText="1"/>
      <protection locked="0"/>
    </xf>
    <xf numFmtId="0" fontId="27"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8" fillId="0" borderId="59" xfId="1" applyFont="1" applyFill="1" applyBorder="1" applyAlignment="1" applyProtection="1">
      <alignment horizontal="center" vertical="center" wrapText="1"/>
      <protection hidden="1"/>
    </xf>
    <xf numFmtId="1" fontId="29" fillId="0" borderId="59" xfId="1" applyNumberFormat="1" applyFont="1" applyFill="1" applyBorder="1" applyAlignment="1" applyProtection="1">
      <alignment horizontal="center" vertical="center" wrapText="1"/>
      <protection locked="0"/>
    </xf>
    <xf numFmtId="0" fontId="31" fillId="0" borderId="8" xfId="0" applyFont="1" applyBorder="1" applyAlignment="1" applyProtection="1">
      <alignment horizontal="left"/>
      <protection locked="0"/>
    </xf>
    <xf numFmtId="0" fontId="31" fillId="0" borderId="9" xfId="0" applyFont="1" applyBorder="1" applyAlignment="1" applyProtection="1">
      <alignment horizontal="left"/>
      <protection locked="0"/>
    </xf>
    <xf numFmtId="0" fontId="32" fillId="2" borderId="9" xfId="0" applyFont="1" applyFill="1" applyBorder="1" applyProtection="1">
      <protection locked="0"/>
    </xf>
    <xf numFmtId="0" fontId="20" fillId="13" borderId="82" xfId="0" applyFont="1" applyFill="1" applyBorder="1" applyAlignment="1" applyProtection="1">
      <alignment horizontal="center" vertical="center" wrapText="1"/>
      <protection hidden="1"/>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1"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38" fillId="0" borderId="5" xfId="0" applyFont="1" applyBorder="1" applyAlignment="1" applyProtection="1">
      <alignment horizontal="center" vertical="center" wrapText="1"/>
      <protection locked="0"/>
    </xf>
    <xf numFmtId="0" fontId="38" fillId="0" borderId="43" xfId="0" applyFont="1" applyBorder="1" applyAlignment="1" applyProtection="1">
      <alignment horizontal="center" vertical="center" wrapText="1"/>
      <protection locked="0"/>
    </xf>
    <xf numFmtId="0" fontId="38" fillId="0" borderId="43" xfId="0" applyFont="1" applyBorder="1" applyAlignment="1" applyProtection="1">
      <alignment vertical="center" wrapText="1"/>
      <protection locked="0"/>
    </xf>
    <xf numFmtId="0" fontId="38" fillId="0" borderId="5" xfId="0" applyFont="1" applyBorder="1" applyAlignment="1" applyProtection="1">
      <alignment vertical="center" wrapText="1"/>
      <protection locked="0"/>
    </xf>
    <xf numFmtId="0" fontId="20" fillId="0" borderId="22" xfId="0" applyFont="1" applyBorder="1" applyAlignment="1" applyProtection="1">
      <alignment horizontal="center" vertical="center"/>
      <protection locked="0"/>
    </xf>
    <xf numFmtId="0" fontId="21" fillId="10" borderId="60" xfId="0" applyFont="1" applyFill="1" applyBorder="1" applyAlignment="1" applyProtection="1">
      <alignment horizontal="center" vertical="center" wrapText="1"/>
      <protection hidden="1"/>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30" fillId="3" borderId="1" xfId="0" applyFont="1" applyFill="1" applyBorder="1" applyAlignment="1" applyProtection="1">
      <alignment horizontal="center" vertical="center" wrapText="1"/>
      <protection locked="0"/>
    </xf>
    <xf numFmtId="0" fontId="30" fillId="3" borderId="2" xfId="0" applyFont="1" applyFill="1" applyBorder="1" applyAlignment="1" applyProtection="1">
      <alignment horizontal="center" vertical="center" wrapText="1"/>
      <protection locked="0"/>
    </xf>
    <xf numFmtId="0" fontId="31" fillId="0" borderId="6" xfId="0" applyFont="1" applyBorder="1" applyAlignment="1" applyProtection="1">
      <alignment horizontal="left"/>
      <protection locked="0"/>
    </xf>
    <xf numFmtId="0" fontId="31" fillId="0" borderId="0" xfId="0" applyFont="1" applyAlignment="1" applyProtection="1">
      <alignment horizontal="left"/>
      <protection locked="0"/>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0" fontId="18" fillId="8" borderId="50" xfId="0" applyFont="1" applyFill="1" applyBorder="1" applyAlignment="1" applyProtection="1">
      <alignment horizontal="center" vertical="center" wrapText="1"/>
      <protection locked="0"/>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18" fillId="0" borderId="5" xfId="0" applyFont="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8" fillId="0" borderId="43"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38" fillId="0" borderId="5" xfId="0" applyFont="1" applyBorder="1" applyAlignment="1" applyProtection="1">
      <alignment horizontal="center" vertical="center" wrapText="1"/>
      <protection locked="0"/>
    </xf>
    <xf numFmtId="0" fontId="9" fillId="3" borderId="7"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2" borderId="45"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0" borderId="47" xfId="0" applyNumberFormat="1" applyFont="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0" fontId="18" fillId="0" borderId="59" xfId="0" applyFont="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42" xfId="0" applyFont="1" applyBorder="1" applyAlignment="1" applyProtection="1">
      <alignment horizontal="center" vertical="center" wrapText="1"/>
      <protection hidden="1"/>
    </xf>
    <xf numFmtId="0" fontId="38" fillId="0" borderId="14" xfId="0" applyFont="1" applyBorder="1" applyAlignment="1" applyProtection="1">
      <alignment horizontal="center" vertical="center" wrapText="1"/>
      <protection locked="0"/>
    </xf>
    <xf numFmtId="0" fontId="38" fillId="0" borderId="4" xfId="0" applyFont="1" applyBorder="1" applyAlignment="1" applyProtection="1">
      <alignment horizontal="center" vertical="center" wrapText="1"/>
      <protection locked="0"/>
    </xf>
    <xf numFmtId="0" fontId="38" fillId="0" borderId="46" xfId="0" applyFont="1" applyBorder="1" applyAlignment="1" applyProtection="1">
      <alignment horizontal="center" vertical="center" wrapText="1"/>
      <protection locked="0"/>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8" fillId="2" borderId="8" xfId="0" applyFont="1" applyFill="1" applyBorder="1" applyAlignment="1" applyProtection="1">
      <alignment horizontal="center" vertical="center" wrapText="1"/>
      <protection locked="0"/>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9" borderId="46"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8" borderId="44" xfId="0" applyFont="1" applyFill="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0" fillId="0" borderId="22" xfId="0" applyFont="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17" fillId="10" borderId="14" xfId="0" applyFont="1" applyFill="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23" fillId="7" borderId="46" xfId="0" applyFont="1" applyFill="1" applyBorder="1" applyAlignment="1" applyProtection="1">
      <alignment horizontal="center" vertical="center" wrapText="1"/>
      <protection locked="0"/>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10" fontId="22" fillId="0" borderId="45" xfId="1" applyNumberFormat="1" applyFont="1" applyFill="1" applyBorder="1" applyAlignment="1" applyProtection="1">
      <alignment horizontal="center" vertical="center" wrapText="1"/>
      <protection hidden="1"/>
    </xf>
    <xf numFmtId="10" fontId="22" fillId="0" borderId="49" xfId="1" applyNumberFormat="1" applyFont="1" applyFill="1" applyBorder="1" applyAlignment="1" applyProtection="1">
      <alignment horizontal="center" vertical="center" wrapText="1"/>
      <protection hidden="1"/>
    </xf>
    <xf numFmtId="10" fontId="22" fillId="0" borderId="51" xfId="1" applyNumberFormat="1"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0" borderId="43" xfId="0" applyFont="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21" fillId="7" borderId="7" xfId="0" applyFont="1" applyFill="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37" fillId="0" borderId="14" xfId="0" applyFont="1" applyBorder="1" applyAlignment="1" applyProtection="1">
      <alignment horizontal="center" vertical="center" wrapText="1"/>
      <protection locked="0"/>
    </xf>
    <xf numFmtId="0" fontId="37" fillId="0" borderId="4" xfId="0" applyFont="1" applyBorder="1" applyAlignment="1" applyProtection="1">
      <alignment horizontal="center" vertical="center" wrapText="1"/>
      <protection locked="0"/>
    </xf>
    <xf numFmtId="0" fontId="37" fillId="0" borderId="46"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22" fillId="12" borderId="50"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hidden="1"/>
    </xf>
    <xf numFmtId="0" fontId="37" fillId="0" borderId="43" xfId="0" applyFont="1" applyBorder="1" applyAlignment="1" applyProtection="1">
      <alignment horizontal="center" vertical="center" wrapText="1"/>
      <protection locked="0"/>
    </xf>
    <xf numFmtId="0" fontId="37" fillId="0" borderId="5" xfId="0" applyFont="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0" applyNumberFormat="1" applyFont="1" applyFill="1" applyBorder="1" applyAlignment="1" applyProtection="1">
      <alignment horizontal="center" vertical="center" wrapText="1"/>
      <protection hidden="1"/>
    </xf>
    <xf numFmtId="10" fontId="22" fillId="8" borderId="49" xfId="0" applyNumberFormat="1" applyFont="1" applyFill="1" applyBorder="1" applyAlignment="1" applyProtection="1">
      <alignment horizontal="center" vertical="center" wrapText="1"/>
      <protection hidden="1"/>
    </xf>
    <xf numFmtId="10" fontId="22" fillId="8" borderId="51" xfId="0" applyNumberFormat="1"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0" fontId="38" fillId="0" borderId="42" xfId="0" applyFont="1" applyBorder="1" applyAlignment="1" applyProtection="1">
      <alignment horizontal="center" vertical="center" wrapText="1"/>
      <protection hidden="1"/>
    </xf>
    <xf numFmtId="0" fontId="20" fillId="0" borderId="42" xfId="0" applyFont="1" applyBorder="1" applyAlignment="1" applyProtection="1">
      <alignment horizontal="center" vertical="center" wrapText="1"/>
      <protection hidden="1"/>
    </xf>
    <xf numFmtId="0" fontId="37" fillId="2" borderId="5" xfId="0" applyFont="1" applyFill="1" applyBorder="1" applyAlignment="1" applyProtection="1">
      <alignment horizontal="center" vertical="center" wrapText="1"/>
      <protection locked="0"/>
    </xf>
    <xf numFmtId="0" fontId="37" fillId="8" borderId="50" xfId="0" applyFont="1" applyFill="1" applyBorder="1" applyAlignment="1" applyProtection="1">
      <alignment horizontal="center" vertical="center" wrapText="1"/>
      <protection locked="0"/>
    </xf>
    <xf numFmtId="10" fontId="22" fillId="8" borderId="50" xfId="0"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0" fontId="22" fillId="0" borderId="44" xfId="0" applyFont="1" applyBorder="1" applyAlignment="1" applyProtection="1">
      <alignment horizontal="center" vertical="center" wrapText="1"/>
      <protection hidden="1"/>
    </xf>
    <xf numFmtId="0" fontId="38" fillId="0" borderId="43" xfId="0" applyFont="1" applyBorder="1" applyAlignment="1" applyProtection="1">
      <alignment horizontal="center" vertical="center" wrapText="1"/>
      <protection locked="0"/>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2" fillId="9" borderId="42"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22" fillId="0" borderId="48"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35"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3">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s>
  <tableStyles count="1" defaultTableStyle="TableStyleMedium2" defaultPivotStyle="PivotStyleLight16">
    <tableStyle name="Invisible" pivot="0" table="0" count="0" xr9:uid="{2CA500E5-0E2A-486D-9CDA-6F3D8269C0AD}"/>
  </tableStyles>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topLeftCell="A27" zoomScale="40" zoomScaleNormal="40" workbookViewId="0">
      <pane xSplit="9" topLeftCell="J1" activePane="topRight" state="frozen"/>
      <selection activeCell="A11" sqref="A11"/>
      <selection pane="topRight" activeCell="L24" sqref="L24:L26"/>
    </sheetView>
  </sheetViews>
  <sheetFormatPr defaultColWidth="9" defaultRowHeight="14.25" x14ac:dyDescent="0.45"/>
  <cols>
    <col min="1" max="1" width="1.46484375" style="1" customWidth="1"/>
    <col min="2" max="2" width="5.73046875" style="1" customWidth="1"/>
    <col min="3" max="3" width="22" style="1" customWidth="1"/>
    <col min="4" max="4" width="38.46484375" style="121"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265625" style="1" customWidth="1"/>
    <col min="29" max="29" width="10.59765625" style="1" customWidth="1"/>
    <col min="30" max="30" width="10.73046875" style="1" customWidth="1"/>
    <col min="31" max="31" width="11" style="1" customWidth="1"/>
    <col min="32" max="32" width="10.265625" style="1" customWidth="1"/>
    <col min="33" max="33" width="8.46484375" style="1" customWidth="1"/>
    <col min="34" max="34" width="10.3984375" style="1" customWidth="1"/>
    <col min="35" max="35" width="10" style="1" customWidth="1"/>
    <col min="36" max="36" width="9" style="1" customWidth="1"/>
    <col min="37" max="38" width="9.5976562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31"/>
      <c r="B1" s="131"/>
      <c r="C1" s="131"/>
      <c r="D1" s="132"/>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row>
    <row r="2" spans="1:47" ht="4.1500000000000004" customHeight="1" thickBot="1" x14ac:dyDescent="0.5">
      <c r="A2" s="131"/>
      <c r="B2" s="131"/>
      <c r="C2" s="131"/>
      <c r="D2" s="132"/>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row>
    <row r="3" spans="1:47" s="6" customFormat="1" ht="38.25" customHeight="1" thickBot="1" x14ac:dyDescent="0.75">
      <c r="A3" s="3"/>
      <c r="B3" s="4"/>
      <c r="C3" s="413" t="s">
        <v>0</v>
      </c>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c r="AL3" s="413"/>
      <c r="AM3" s="413"/>
      <c r="AN3" s="413"/>
      <c r="AO3" s="413"/>
      <c r="AP3" s="413"/>
      <c r="AQ3" s="413"/>
      <c r="AR3" s="413"/>
      <c r="AS3" s="413"/>
      <c r="AT3" s="413"/>
      <c r="AU3" s="5"/>
    </row>
    <row r="4" spans="1:47" ht="54.75" customHeight="1" thickBot="1" x14ac:dyDescent="0.5">
      <c r="A4" s="133"/>
      <c r="B4" s="414"/>
      <c r="C4" s="415" t="s">
        <v>1</v>
      </c>
      <c r="D4" s="415"/>
      <c r="E4" s="415"/>
      <c r="F4" s="415"/>
      <c r="G4" s="415"/>
      <c r="H4" s="415"/>
      <c r="I4" s="415"/>
      <c r="J4" s="415" t="s">
        <v>2</v>
      </c>
      <c r="K4" s="415"/>
      <c r="L4" s="415"/>
      <c r="M4" s="415"/>
      <c r="N4" s="415"/>
      <c r="O4" s="415"/>
      <c r="P4" s="415"/>
      <c r="Q4" s="415"/>
      <c r="R4" s="415"/>
      <c r="S4" s="415" t="s">
        <v>3</v>
      </c>
      <c r="T4" s="415"/>
      <c r="U4" s="415"/>
      <c r="V4" s="415"/>
      <c r="W4" s="415"/>
      <c r="X4" s="415"/>
      <c r="Y4" s="415"/>
      <c r="Z4" s="415"/>
      <c r="AA4" s="415" t="s">
        <v>4</v>
      </c>
      <c r="AB4" s="415"/>
      <c r="AC4" s="415"/>
      <c r="AD4" s="415"/>
      <c r="AE4" s="416"/>
      <c r="AF4" s="415"/>
      <c r="AG4" s="415"/>
      <c r="AH4" s="415"/>
      <c r="AI4" s="415"/>
      <c r="AJ4" s="415" t="s">
        <v>5</v>
      </c>
      <c r="AK4" s="415"/>
      <c r="AL4" s="415"/>
      <c r="AM4" s="415"/>
      <c r="AN4" s="415"/>
      <c r="AO4" s="415"/>
      <c r="AP4" s="415"/>
      <c r="AQ4" s="415"/>
      <c r="AR4" s="415"/>
      <c r="AS4" s="415"/>
      <c r="AT4" s="415"/>
      <c r="AU4" s="7"/>
    </row>
    <row r="5" spans="1:47" ht="20.25" customHeight="1" x14ac:dyDescent="0.45">
      <c r="A5" s="133"/>
      <c r="B5" s="414"/>
      <c r="C5" s="431" t="s">
        <v>6</v>
      </c>
      <c r="D5" s="432"/>
      <c r="E5" s="435" t="s">
        <v>7</v>
      </c>
      <c r="F5" s="436"/>
      <c r="G5" s="436"/>
      <c r="H5" s="436"/>
      <c r="I5" s="437"/>
      <c r="J5" s="435" t="s">
        <v>8</v>
      </c>
      <c r="K5" s="436"/>
      <c r="L5" s="436"/>
      <c r="M5" s="437"/>
      <c r="N5" s="441" t="s">
        <v>9</v>
      </c>
      <c r="O5" s="442"/>
      <c r="P5" s="442"/>
      <c r="Q5" s="442"/>
      <c r="R5" s="443"/>
      <c r="S5" s="447" t="s">
        <v>10</v>
      </c>
      <c r="T5" s="448"/>
      <c r="U5" s="448"/>
      <c r="V5" s="448"/>
      <c r="W5" s="448"/>
      <c r="X5" s="448"/>
      <c r="Y5" s="448"/>
      <c r="Z5" s="448"/>
      <c r="AA5" s="448"/>
      <c r="AB5" s="448"/>
      <c r="AC5" s="448"/>
      <c r="AD5" s="448"/>
      <c r="AE5" s="448"/>
      <c r="AF5" s="448"/>
      <c r="AG5" s="448"/>
      <c r="AH5" s="448"/>
      <c r="AI5" s="448"/>
      <c r="AJ5" s="448"/>
      <c r="AK5" s="448"/>
      <c r="AL5" s="448"/>
      <c r="AM5" s="448"/>
      <c r="AN5" s="448"/>
      <c r="AO5" s="448"/>
      <c r="AP5" s="449"/>
      <c r="AQ5" s="450" t="s">
        <v>11</v>
      </c>
      <c r="AR5" s="451"/>
      <c r="AS5" s="454" t="s">
        <v>12</v>
      </c>
      <c r="AT5" s="454" t="s">
        <v>13</v>
      </c>
      <c r="AU5" s="7"/>
    </row>
    <row r="6" spans="1:47" ht="30" customHeight="1" x14ac:dyDescent="0.45">
      <c r="A6" s="133"/>
      <c r="B6" s="414"/>
      <c r="C6" s="431"/>
      <c r="D6" s="432"/>
      <c r="E6" s="435"/>
      <c r="F6" s="436"/>
      <c r="G6" s="436"/>
      <c r="H6" s="436"/>
      <c r="I6" s="437"/>
      <c r="J6" s="435"/>
      <c r="K6" s="436"/>
      <c r="L6" s="436"/>
      <c r="M6" s="437"/>
      <c r="N6" s="441"/>
      <c r="O6" s="442"/>
      <c r="P6" s="442"/>
      <c r="Q6" s="442"/>
      <c r="R6" s="443"/>
      <c r="S6" s="417" t="s">
        <v>14</v>
      </c>
      <c r="T6" s="418"/>
      <c r="U6" s="418"/>
      <c r="V6" s="418"/>
      <c r="W6" s="418"/>
      <c r="X6" s="418"/>
      <c r="Y6" s="418"/>
      <c r="Z6" s="418"/>
      <c r="AA6" s="418"/>
      <c r="AB6" s="418"/>
      <c r="AC6" s="418"/>
      <c r="AD6" s="418"/>
      <c r="AE6" s="418"/>
      <c r="AF6" s="418"/>
      <c r="AG6" s="418"/>
      <c r="AH6" s="418"/>
      <c r="AI6" s="418"/>
      <c r="AJ6" s="418"/>
      <c r="AK6" s="418"/>
      <c r="AL6" s="418"/>
      <c r="AM6" s="418"/>
      <c r="AN6" s="418"/>
      <c r="AO6" s="418"/>
      <c r="AP6" s="419"/>
      <c r="AQ6" s="450"/>
      <c r="AR6" s="451"/>
      <c r="AS6" s="454"/>
      <c r="AT6" s="454"/>
      <c r="AU6" s="7"/>
    </row>
    <row r="7" spans="1:47" ht="84.75" customHeight="1" thickBot="1" x14ac:dyDescent="0.5">
      <c r="A7" s="133"/>
      <c r="B7" s="414"/>
      <c r="C7" s="433"/>
      <c r="D7" s="434"/>
      <c r="E7" s="438"/>
      <c r="F7" s="439"/>
      <c r="G7" s="439"/>
      <c r="H7" s="439"/>
      <c r="I7" s="440"/>
      <c r="J7" s="438"/>
      <c r="K7" s="439"/>
      <c r="L7" s="439"/>
      <c r="M7" s="440"/>
      <c r="N7" s="444"/>
      <c r="O7" s="445"/>
      <c r="P7" s="445"/>
      <c r="Q7" s="445"/>
      <c r="R7" s="446"/>
      <c r="S7" s="420"/>
      <c r="T7" s="421"/>
      <c r="U7" s="421"/>
      <c r="V7" s="421"/>
      <c r="W7" s="421"/>
      <c r="X7" s="421"/>
      <c r="Y7" s="421"/>
      <c r="Z7" s="421"/>
      <c r="AA7" s="421"/>
      <c r="AB7" s="421"/>
      <c r="AC7" s="421"/>
      <c r="AD7" s="421"/>
      <c r="AE7" s="421"/>
      <c r="AF7" s="421"/>
      <c r="AG7" s="421"/>
      <c r="AH7" s="421"/>
      <c r="AI7" s="421"/>
      <c r="AJ7" s="421"/>
      <c r="AK7" s="421"/>
      <c r="AL7" s="421"/>
      <c r="AM7" s="421"/>
      <c r="AN7" s="421"/>
      <c r="AO7" s="421"/>
      <c r="AP7" s="422"/>
      <c r="AQ7" s="452"/>
      <c r="AR7" s="453"/>
      <c r="AS7" s="454"/>
      <c r="AT7" s="454"/>
      <c r="AU7" s="7"/>
    </row>
    <row r="8" spans="1:47" ht="37.5" customHeight="1" thickBot="1" x14ac:dyDescent="0.5">
      <c r="A8" s="133"/>
      <c r="B8" s="414"/>
      <c r="C8" s="423" t="s">
        <v>15</v>
      </c>
      <c r="D8" s="423" t="s">
        <v>16</v>
      </c>
      <c r="E8" s="425" t="s">
        <v>17</v>
      </c>
      <c r="F8" s="427" t="s">
        <v>18</v>
      </c>
      <c r="G8" s="427" t="s">
        <v>19</v>
      </c>
      <c r="H8" s="429" t="s">
        <v>20</v>
      </c>
      <c r="I8" s="406" t="s">
        <v>21</v>
      </c>
      <c r="J8" s="407" t="s">
        <v>22</v>
      </c>
      <c r="K8" s="410" t="s">
        <v>23</v>
      </c>
      <c r="L8" s="403" t="s">
        <v>20</v>
      </c>
      <c r="M8" s="406" t="s">
        <v>21</v>
      </c>
      <c r="N8" s="407" t="s">
        <v>24</v>
      </c>
      <c r="O8" s="410" t="s">
        <v>25</v>
      </c>
      <c r="P8" s="410" t="s">
        <v>26</v>
      </c>
      <c r="Q8" s="403" t="s">
        <v>20</v>
      </c>
      <c r="R8" s="400" t="s">
        <v>21</v>
      </c>
      <c r="S8" s="401" t="s">
        <v>27</v>
      </c>
      <c r="T8" s="402" t="s">
        <v>28</v>
      </c>
      <c r="U8" s="402" t="s">
        <v>29</v>
      </c>
      <c r="V8" s="402" t="s">
        <v>30</v>
      </c>
      <c r="W8" s="380" t="s">
        <v>31</v>
      </c>
      <c r="X8" s="380" t="s">
        <v>32</v>
      </c>
      <c r="Y8" s="380" t="s">
        <v>33</v>
      </c>
      <c r="Z8" s="383" t="s">
        <v>34</v>
      </c>
      <c r="AA8" s="386" t="s">
        <v>35</v>
      </c>
      <c r="AB8" s="387"/>
      <c r="AC8" s="387"/>
      <c r="AD8" s="387"/>
      <c r="AE8" s="387"/>
      <c r="AF8" s="387"/>
      <c r="AG8" s="388"/>
      <c r="AH8" s="392" t="s">
        <v>20</v>
      </c>
      <c r="AI8" s="393"/>
      <c r="AJ8" s="393"/>
      <c r="AK8" s="393"/>
      <c r="AL8" s="393"/>
      <c r="AM8" s="393"/>
      <c r="AN8" s="394"/>
      <c r="AO8" s="398" t="s">
        <v>36</v>
      </c>
      <c r="AP8" s="369" t="s">
        <v>21</v>
      </c>
      <c r="AQ8" s="372" t="s">
        <v>37</v>
      </c>
      <c r="AR8" s="375" t="s">
        <v>38</v>
      </c>
      <c r="AS8" s="454"/>
      <c r="AT8" s="454"/>
      <c r="AU8" s="7"/>
    </row>
    <row r="9" spans="1:47" ht="31.5" customHeight="1" thickBot="1" x14ac:dyDescent="0.5">
      <c r="A9" s="133"/>
      <c r="B9" s="414"/>
      <c r="C9" s="424"/>
      <c r="D9" s="424"/>
      <c r="E9" s="426"/>
      <c r="F9" s="428"/>
      <c r="G9" s="428"/>
      <c r="H9" s="430"/>
      <c r="I9" s="406"/>
      <c r="J9" s="408"/>
      <c r="K9" s="411"/>
      <c r="L9" s="404"/>
      <c r="M9" s="406"/>
      <c r="N9" s="408"/>
      <c r="O9" s="411"/>
      <c r="P9" s="411"/>
      <c r="Q9" s="404"/>
      <c r="R9" s="400"/>
      <c r="S9" s="401"/>
      <c r="T9" s="402"/>
      <c r="U9" s="402"/>
      <c r="V9" s="402"/>
      <c r="W9" s="381"/>
      <c r="X9" s="381"/>
      <c r="Y9" s="381"/>
      <c r="Z9" s="384"/>
      <c r="AA9" s="389"/>
      <c r="AB9" s="390"/>
      <c r="AC9" s="390"/>
      <c r="AD9" s="390"/>
      <c r="AE9" s="390"/>
      <c r="AF9" s="390"/>
      <c r="AG9" s="391"/>
      <c r="AH9" s="395"/>
      <c r="AI9" s="396"/>
      <c r="AJ9" s="396"/>
      <c r="AK9" s="396"/>
      <c r="AL9" s="396"/>
      <c r="AM9" s="396"/>
      <c r="AN9" s="397"/>
      <c r="AO9" s="399"/>
      <c r="AP9" s="370"/>
      <c r="AQ9" s="373"/>
      <c r="AR9" s="370"/>
      <c r="AS9" s="454"/>
      <c r="AT9" s="454"/>
      <c r="AU9" s="7"/>
    </row>
    <row r="10" spans="1:47" ht="61.5" customHeight="1" thickBot="1" x14ac:dyDescent="0.5">
      <c r="A10" s="133"/>
      <c r="B10" s="414"/>
      <c r="C10" s="424"/>
      <c r="D10" s="424"/>
      <c r="E10" s="426"/>
      <c r="F10" s="428"/>
      <c r="G10" s="428"/>
      <c r="H10" s="430"/>
      <c r="I10" s="406"/>
      <c r="J10" s="409"/>
      <c r="K10" s="412"/>
      <c r="L10" s="405"/>
      <c r="M10" s="406"/>
      <c r="N10" s="409"/>
      <c r="O10" s="412"/>
      <c r="P10" s="412"/>
      <c r="Q10" s="405"/>
      <c r="R10" s="400"/>
      <c r="S10" s="388"/>
      <c r="T10" s="380"/>
      <c r="U10" s="380"/>
      <c r="V10" s="380"/>
      <c r="W10" s="381"/>
      <c r="X10" s="382"/>
      <c r="Y10" s="382"/>
      <c r="Z10" s="385"/>
      <c r="AA10" s="116" t="s">
        <v>39</v>
      </c>
      <c r="AB10" s="116" t="s">
        <v>40</v>
      </c>
      <c r="AC10" s="116" t="s">
        <v>41</v>
      </c>
      <c r="AD10" s="116" t="s">
        <v>42</v>
      </c>
      <c r="AE10" s="117" t="s">
        <v>43</v>
      </c>
      <c r="AF10" s="117" t="s">
        <v>44</v>
      </c>
      <c r="AG10" s="117" t="s">
        <v>45</v>
      </c>
      <c r="AH10" s="106" t="s">
        <v>39</v>
      </c>
      <c r="AI10" s="106" t="s">
        <v>40</v>
      </c>
      <c r="AJ10" s="106" t="s">
        <v>41</v>
      </c>
      <c r="AK10" s="106" t="s">
        <v>42</v>
      </c>
      <c r="AL10" s="118" t="s">
        <v>43</v>
      </c>
      <c r="AM10" s="118" t="s">
        <v>44</v>
      </c>
      <c r="AN10" s="118" t="s">
        <v>45</v>
      </c>
      <c r="AO10" s="399"/>
      <c r="AP10" s="371"/>
      <c r="AQ10" s="374"/>
      <c r="AR10" s="371"/>
      <c r="AS10" s="454"/>
      <c r="AT10" s="454"/>
      <c r="AU10" s="7"/>
    </row>
    <row r="11" spans="1:47" ht="26.25" customHeight="1" thickBot="1" x14ac:dyDescent="0.5">
      <c r="A11" s="133"/>
      <c r="B11" s="414"/>
      <c r="C11" s="183" t="s">
        <v>46</v>
      </c>
      <c r="D11" s="310" t="s">
        <v>47</v>
      </c>
      <c r="E11" s="183">
        <v>2</v>
      </c>
      <c r="F11" s="183">
        <v>2</v>
      </c>
      <c r="G11" s="183">
        <v>2</v>
      </c>
      <c r="H11" s="341">
        <f>E11+F11+G11</f>
        <v>6</v>
      </c>
      <c r="I11" s="188">
        <v>6</v>
      </c>
      <c r="J11" s="195">
        <v>2</v>
      </c>
      <c r="K11" s="183">
        <v>2</v>
      </c>
      <c r="L11" s="164">
        <f>SUM(J11:K13)</f>
        <v>4</v>
      </c>
      <c r="M11" s="188">
        <v>4</v>
      </c>
      <c r="N11" s="297">
        <v>5</v>
      </c>
      <c r="O11" s="273">
        <v>5</v>
      </c>
      <c r="P11" s="273">
        <v>5</v>
      </c>
      <c r="Q11" s="237">
        <f>SUM(N11:P13)</f>
        <v>15</v>
      </c>
      <c r="R11" s="188">
        <v>15</v>
      </c>
      <c r="S11" s="273">
        <v>721</v>
      </c>
      <c r="T11" s="325">
        <v>721</v>
      </c>
      <c r="U11" s="325">
        <v>721</v>
      </c>
      <c r="V11" s="325">
        <v>721</v>
      </c>
      <c r="W11" s="325">
        <v>721</v>
      </c>
      <c r="X11" s="348"/>
      <c r="Y11" s="268"/>
      <c r="Z11" s="273">
        <v>721</v>
      </c>
      <c r="AA11" s="269">
        <f>S11/W11</f>
        <v>1</v>
      </c>
      <c r="AB11" s="269">
        <f>T11/W11</f>
        <v>1</v>
      </c>
      <c r="AC11" s="361">
        <f>U11/W11</f>
        <v>1</v>
      </c>
      <c r="AD11" s="358">
        <f>V11/W11</f>
        <v>1</v>
      </c>
      <c r="AE11" s="332"/>
      <c r="AF11" s="364"/>
      <c r="AG11" s="269">
        <f>Z11/W11</f>
        <v>1</v>
      </c>
      <c r="AH11" s="253" t="str">
        <f>IF(AND(AA11&gt;=10%,AA11&lt;=19%),"1",IF(AND(AA11&gt;=20%,AA11&lt;=29%),"2",IF(AND(AA11&gt;=30%,AA11&lt;=39%),"3",IF(AND(AA11&gt;=40%,AA11&lt;=49%),"4",IF(AND(AA11&gt;=50%,AA11&lt;=59%),"5",IF(AND(AA11&gt;=60%,AA11&lt;=69%),"6",IF(AND(AA11&gt;=70%,AA11&lt;=79%),"7",IF(AND(AA11&gt;=80%,AA11&lt;=89%),"8",IF(AND(AA11&gt;=90%,AA11&lt;=99%),"9",IF(AND(AA11&gt;=100%,AA11&lt;=105%),"10",IF(AND(AA11&gt;=106%),"0","0")))))))))))</f>
        <v>10</v>
      </c>
      <c r="AI11" s="253"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53" t="str">
        <f t="shared" si="0"/>
        <v>10</v>
      </c>
      <c r="AK11" s="253" t="str">
        <f t="shared" si="0"/>
        <v>10</v>
      </c>
      <c r="AL11" s="376"/>
      <c r="AM11" s="377"/>
      <c r="AN11" s="253" t="str">
        <f t="shared" si="0"/>
        <v>10</v>
      </c>
      <c r="AO11" s="257">
        <f>AH11+AI11+AJ11+AK11+AL11+AN11</f>
        <v>50</v>
      </c>
      <c r="AP11" s="260">
        <v>50</v>
      </c>
      <c r="AQ11" s="327">
        <f>SUM(H11,L11,Q11,AO11)</f>
        <v>75</v>
      </c>
      <c r="AR11" s="329">
        <f>SUM(AP11,R11,M11,I11)</f>
        <v>75</v>
      </c>
      <c r="AS11" s="250"/>
      <c r="AT11" s="250"/>
      <c r="AU11" s="7"/>
    </row>
    <row r="12" spans="1:47" ht="26.25" customHeight="1" thickBot="1" x14ac:dyDescent="0.5">
      <c r="A12" s="133"/>
      <c r="B12" s="414"/>
      <c r="C12" s="183"/>
      <c r="D12" s="311"/>
      <c r="E12" s="183"/>
      <c r="F12" s="183"/>
      <c r="G12" s="183"/>
      <c r="H12" s="341"/>
      <c r="I12" s="188"/>
      <c r="J12" s="195"/>
      <c r="K12" s="183"/>
      <c r="L12" s="165"/>
      <c r="M12" s="188"/>
      <c r="N12" s="297"/>
      <c r="O12" s="273"/>
      <c r="P12" s="273"/>
      <c r="Q12" s="237"/>
      <c r="R12" s="188"/>
      <c r="S12" s="273"/>
      <c r="T12" s="325"/>
      <c r="U12" s="325"/>
      <c r="V12" s="325"/>
      <c r="W12" s="325"/>
      <c r="X12" s="349"/>
      <c r="Y12" s="268"/>
      <c r="Z12" s="273"/>
      <c r="AA12" s="270"/>
      <c r="AB12" s="270"/>
      <c r="AC12" s="362"/>
      <c r="AD12" s="358"/>
      <c r="AE12" s="332"/>
      <c r="AF12" s="365"/>
      <c r="AG12" s="270"/>
      <c r="AH12" s="330"/>
      <c r="AI12" s="330"/>
      <c r="AJ12" s="330"/>
      <c r="AK12" s="330"/>
      <c r="AL12" s="331"/>
      <c r="AM12" s="378"/>
      <c r="AN12" s="330"/>
      <c r="AO12" s="258"/>
      <c r="AP12" s="260"/>
      <c r="AQ12" s="328"/>
      <c r="AR12" s="329"/>
      <c r="AS12" s="250"/>
      <c r="AT12" s="250"/>
      <c r="AU12" s="7"/>
    </row>
    <row r="13" spans="1:47" ht="26.25" customHeight="1" thickBot="1" x14ac:dyDescent="0.5">
      <c r="A13" s="133"/>
      <c r="B13" s="414"/>
      <c r="C13" s="183"/>
      <c r="D13" s="312"/>
      <c r="E13" s="183"/>
      <c r="F13" s="183"/>
      <c r="G13" s="183"/>
      <c r="H13" s="341"/>
      <c r="I13" s="188"/>
      <c r="J13" s="195"/>
      <c r="K13" s="183"/>
      <c r="L13" s="166"/>
      <c r="M13" s="188"/>
      <c r="N13" s="297"/>
      <c r="O13" s="273"/>
      <c r="P13" s="273"/>
      <c r="Q13" s="237"/>
      <c r="R13" s="188"/>
      <c r="S13" s="273"/>
      <c r="T13" s="325"/>
      <c r="U13" s="325"/>
      <c r="V13" s="325"/>
      <c r="W13" s="325"/>
      <c r="X13" s="350"/>
      <c r="Y13" s="268"/>
      <c r="Z13" s="273"/>
      <c r="AA13" s="271"/>
      <c r="AB13" s="271"/>
      <c r="AC13" s="363"/>
      <c r="AD13" s="358"/>
      <c r="AE13" s="332"/>
      <c r="AF13" s="366"/>
      <c r="AG13" s="271"/>
      <c r="AH13" s="330"/>
      <c r="AI13" s="330"/>
      <c r="AJ13" s="330"/>
      <c r="AK13" s="330"/>
      <c r="AL13" s="331"/>
      <c r="AM13" s="379"/>
      <c r="AN13" s="330"/>
      <c r="AO13" s="259"/>
      <c r="AP13" s="260"/>
      <c r="AQ13" s="328"/>
      <c r="AR13" s="329"/>
      <c r="AS13" s="250"/>
      <c r="AT13" s="250"/>
      <c r="AU13" s="7"/>
    </row>
    <row r="14" spans="1:47" ht="26.25" customHeight="1" thickBot="1" x14ac:dyDescent="0.5">
      <c r="A14" s="133"/>
      <c r="B14" s="414"/>
      <c r="C14" s="183" t="s">
        <v>48</v>
      </c>
      <c r="D14" s="310" t="s">
        <v>49</v>
      </c>
      <c r="E14" s="183">
        <v>2</v>
      </c>
      <c r="F14" s="183">
        <v>2</v>
      </c>
      <c r="G14" s="183">
        <v>2</v>
      </c>
      <c r="H14" s="341">
        <f t="shared" ref="H14" si="1">E14+F14+G14</f>
        <v>6</v>
      </c>
      <c r="I14" s="188">
        <v>6</v>
      </c>
      <c r="J14" s="195">
        <v>2</v>
      </c>
      <c r="K14" s="183">
        <v>2</v>
      </c>
      <c r="L14" s="164">
        <f>SUM(J14:K16)</f>
        <v>4</v>
      </c>
      <c r="M14" s="188">
        <v>4</v>
      </c>
      <c r="N14" s="297">
        <v>5</v>
      </c>
      <c r="O14" s="273">
        <v>5</v>
      </c>
      <c r="P14" s="273">
        <v>5</v>
      </c>
      <c r="Q14" s="237">
        <f>SUM(N14:P16)</f>
        <v>15</v>
      </c>
      <c r="R14" s="188">
        <v>15</v>
      </c>
      <c r="S14" s="273">
        <v>11</v>
      </c>
      <c r="T14" s="273">
        <v>11</v>
      </c>
      <c r="U14" s="325">
        <v>11</v>
      </c>
      <c r="V14" s="325">
        <v>11</v>
      </c>
      <c r="W14" s="325">
        <v>11</v>
      </c>
      <c r="X14" s="348"/>
      <c r="Y14" s="268"/>
      <c r="Z14" s="273">
        <v>11</v>
      </c>
      <c r="AA14" s="269">
        <f>S14/W14</f>
        <v>1</v>
      </c>
      <c r="AB14" s="269">
        <f>T14/W14</f>
        <v>1</v>
      </c>
      <c r="AC14" s="361">
        <f>U14/W14</f>
        <v>1</v>
      </c>
      <c r="AD14" s="358">
        <f>V14/W14</f>
        <v>1</v>
      </c>
      <c r="AE14" s="332"/>
      <c r="AF14" s="364"/>
      <c r="AG14" s="269">
        <f>Z14/W14</f>
        <v>1</v>
      </c>
      <c r="AH14" s="330" t="str">
        <f>IF(AND(AA14&gt;=10%,AA14&lt;=19%),"1",IF(AND(AA14&gt;=20%,AA14&lt;=29%),"2",IF(AND(AA14&gt;=30%,AA14&lt;=39%),"3",IF(AND(AA14&gt;=40%,AA14&lt;=49%),"4",IF(AND(AA14&gt;=50%,AA14&lt;=59%),"5",IF(AND(AA14&gt;=60%,AA14&lt;=69%),"6",IF(AND(AA14&gt;=70%,AA14&lt;=79%),"7",IF(AND(AA14&gt;=80%,AA14&lt;=89%),"8",IF(AND(AA14&gt;=90%,AA14&lt;=99%),"9",IF(AND(AA14&gt;=100%,AA14&lt;=105%),"10",IF(AND(AA14&gt;=106%),"0","0")))))))))))</f>
        <v>10</v>
      </c>
      <c r="AI14" s="330"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367" t="str">
        <f t="shared" si="2"/>
        <v>10</v>
      </c>
      <c r="AK14" s="251" t="str">
        <f t="shared" si="2"/>
        <v>10</v>
      </c>
      <c r="AL14" s="331"/>
      <c r="AM14" s="368"/>
      <c r="AN14" s="252" t="str">
        <f>IF(AND(AG14&gt;=10%,AG14&lt;=19%),"1",IF(AND(AG14&gt;=20%,AG14&lt;=29%),"2",IF(AND(AG14&gt;=30%,AG14&lt;=39%),"3",IF(AND(AG14&gt;=40%,AG14&lt;=49%),"4",IF(AND(AG14&gt;=50%,AG14&lt;=59%),"5",IF(AND(AG14&gt;=60%,AG14&lt;=69%),"6",IF(AND(AG14&gt;=70%,AG14&lt;=79%),"7",IF(AND(AG14&gt;=80%,AG14&lt;=89%),"8",IF(AND(AG14&gt;=90%,AG14&lt;=99%),"9",IF(AND(AG14&gt;=100%,AG14&lt;=105%),"10",IF(AND(AG14&gt;=106%),"0","0")))))))))))</f>
        <v>10</v>
      </c>
      <c r="AO14" s="257">
        <f>AH14+AI14+AJ14+AK14+AL14+AN14</f>
        <v>50</v>
      </c>
      <c r="AP14" s="260">
        <v>50</v>
      </c>
      <c r="AQ14" s="327">
        <f>SUM(H14,L14,Q14,AO14)</f>
        <v>75</v>
      </c>
      <c r="AR14" s="329">
        <f t="shared" ref="AR14" si="3">SUM(AP14,R14,M14,I14)</f>
        <v>75</v>
      </c>
      <c r="AS14" s="285"/>
      <c r="AT14" s="250"/>
      <c r="AU14" s="7"/>
    </row>
    <row r="15" spans="1:47" ht="18.75" customHeight="1" thickBot="1" x14ac:dyDescent="0.5">
      <c r="A15" s="133"/>
      <c r="B15" s="414"/>
      <c r="C15" s="183"/>
      <c r="D15" s="311"/>
      <c r="E15" s="183"/>
      <c r="F15" s="183"/>
      <c r="G15" s="183"/>
      <c r="H15" s="341"/>
      <c r="I15" s="188"/>
      <c r="J15" s="195"/>
      <c r="K15" s="183"/>
      <c r="L15" s="165"/>
      <c r="M15" s="188"/>
      <c r="N15" s="297"/>
      <c r="O15" s="273"/>
      <c r="P15" s="273"/>
      <c r="Q15" s="237"/>
      <c r="R15" s="188"/>
      <c r="S15" s="273"/>
      <c r="T15" s="273"/>
      <c r="U15" s="325"/>
      <c r="V15" s="325"/>
      <c r="W15" s="325"/>
      <c r="X15" s="349"/>
      <c r="Y15" s="268"/>
      <c r="Z15" s="273"/>
      <c r="AA15" s="270"/>
      <c r="AB15" s="270"/>
      <c r="AC15" s="362"/>
      <c r="AD15" s="358"/>
      <c r="AE15" s="332"/>
      <c r="AF15" s="365"/>
      <c r="AG15" s="270"/>
      <c r="AH15" s="330"/>
      <c r="AI15" s="330"/>
      <c r="AJ15" s="367"/>
      <c r="AK15" s="252"/>
      <c r="AL15" s="331"/>
      <c r="AM15" s="368"/>
      <c r="AN15" s="252"/>
      <c r="AO15" s="258"/>
      <c r="AP15" s="260"/>
      <c r="AQ15" s="328"/>
      <c r="AR15" s="329"/>
      <c r="AS15" s="286"/>
      <c r="AT15" s="250"/>
      <c r="AU15" s="7"/>
    </row>
    <row r="16" spans="1:47" ht="18.75" customHeight="1" thickBot="1" x14ac:dyDescent="0.5">
      <c r="A16" s="133"/>
      <c r="B16" s="414"/>
      <c r="C16" s="183"/>
      <c r="D16" s="312"/>
      <c r="E16" s="183"/>
      <c r="F16" s="183"/>
      <c r="G16" s="183"/>
      <c r="H16" s="341"/>
      <c r="I16" s="188"/>
      <c r="J16" s="195"/>
      <c r="K16" s="183"/>
      <c r="L16" s="166"/>
      <c r="M16" s="188"/>
      <c r="N16" s="297"/>
      <c r="O16" s="273"/>
      <c r="P16" s="273"/>
      <c r="Q16" s="237"/>
      <c r="R16" s="188"/>
      <c r="S16" s="273"/>
      <c r="T16" s="273"/>
      <c r="U16" s="325"/>
      <c r="V16" s="325"/>
      <c r="W16" s="325"/>
      <c r="X16" s="350"/>
      <c r="Y16" s="268"/>
      <c r="Z16" s="273"/>
      <c r="AA16" s="271"/>
      <c r="AB16" s="271"/>
      <c r="AC16" s="363"/>
      <c r="AD16" s="358"/>
      <c r="AE16" s="332"/>
      <c r="AF16" s="366"/>
      <c r="AG16" s="271"/>
      <c r="AH16" s="330"/>
      <c r="AI16" s="330"/>
      <c r="AJ16" s="367"/>
      <c r="AK16" s="253"/>
      <c r="AL16" s="331"/>
      <c r="AM16" s="368"/>
      <c r="AN16" s="253"/>
      <c r="AO16" s="259"/>
      <c r="AP16" s="282"/>
      <c r="AQ16" s="328"/>
      <c r="AR16" s="329"/>
      <c r="AS16" s="287"/>
      <c r="AT16" s="250"/>
      <c r="AU16" s="7"/>
    </row>
    <row r="17" spans="1:51" ht="26.25" customHeight="1" thickBot="1" x14ac:dyDescent="0.5">
      <c r="A17" s="133"/>
      <c r="B17" s="414"/>
      <c r="C17" s="189" t="s">
        <v>50</v>
      </c>
      <c r="D17" s="310" t="s">
        <v>51</v>
      </c>
      <c r="E17" s="212">
        <v>2</v>
      </c>
      <c r="F17" s="212">
        <v>2</v>
      </c>
      <c r="G17" s="212">
        <v>2</v>
      </c>
      <c r="H17" s="341">
        <f t="shared" ref="H17" si="4">E17+F17+G17</f>
        <v>6</v>
      </c>
      <c r="I17" s="196">
        <v>6</v>
      </c>
      <c r="J17" s="360">
        <v>2</v>
      </c>
      <c r="K17" s="212">
        <v>2</v>
      </c>
      <c r="L17" s="164">
        <f>SUM(J17:K19)</f>
        <v>4</v>
      </c>
      <c r="M17" s="196">
        <v>4</v>
      </c>
      <c r="N17" s="324">
        <v>5</v>
      </c>
      <c r="O17" s="325">
        <v>5</v>
      </c>
      <c r="P17" s="325">
        <v>5</v>
      </c>
      <c r="Q17" s="237">
        <f>SUM(N17:P19)</f>
        <v>15</v>
      </c>
      <c r="R17" s="196">
        <v>15</v>
      </c>
      <c r="S17" s="273">
        <v>109</v>
      </c>
      <c r="T17" s="273">
        <v>109</v>
      </c>
      <c r="U17" s="273">
        <v>109</v>
      </c>
      <c r="V17" s="298"/>
      <c r="W17" s="320">
        <v>109</v>
      </c>
      <c r="X17" s="294"/>
      <c r="Y17" s="298"/>
      <c r="Z17" s="298"/>
      <c r="AA17" s="269">
        <f>S17/W17</f>
        <v>1</v>
      </c>
      <c r="AB17" s="269">
        <f>T17/W17</f>
        <v>1</v>
      </c>
      <c r="AC17" s="269">
        <f>U17/W17</f>
        <v>1</v>
      </c>
      <c r="AD17" s="316"/>
      <c r="AE17" s="265"/>
      <c r="AF17" s="265"/>
      <c r="AG17" s="265"/>
      <c r="AH17" s="330" t="str">
        <f>IF(AND(AA17&gt;=10%,AA17&lt;=19%),"1",IF(AND(AA17&gt;=20%,AA17&lt;=29%),"2",IF(AND(AA17&gt;=30%,AA17&lt;=39%),"3",IF(AND(AA17&gt;=40%,AA17&lt;=49%),"4",IF(AND(AA17&gt;=50%,AA17&lt;=59%),"5",IF(AND(AA17&gt;=60%,AA17&lt;=69%),"6",IF(AND(AA17&gt;=70%,AA17&lt;=79%),"7",IF(AND(AA17&gt;=80%,AA17&lt;=89%),"8",IF(AND(AA17&gt;=90%,AA17&lt;=99%),"9",IF(AND(AA17&gt;=100%,AA17&lt;=105%),"10",IF(AND(AA17&gt;=106%),"0","0")))))))))))</f>
        <v>10</v>
      </c>
      <c r="AI17" s="330" t="str">
        <f>IF(AND(AB17&gt;=10%,AB17&lt;=19%),"1",IF(AND(AB17&gt;=20%,AB17&lt;=29%),"2",IF(AND(AB17&gt;=30%,AB17&lt;=39%),"3",IF(AND(AB17&gt;=40%,AB17&lt;=49%),"4",IF(AND(AB17&gt;=50%,AB17&lt;=59%),"5",IF(AND(AB17&gt;=60%,AB17&lt;=69%),"6",IF(AND(AB17&gt;=70%,AB17&lt;=79%),"7",IF(AND(AB17&gt;=80%,AB17&lt;=89%),"8",IF(AND(AB17&gt;=90%,AB17&lt;=99%),"9",IF(AND(AB17&gt;=100%,AB17&lt;=105%),"10",IF(AND(AB17&gt;=106%),"0","0")))))))))))</f>
        <v>10</v>
      </c>
      <c r="AJ17" s="330" t="str">
        <f>IF(AND(AC17&gt;=10%,AC17&lt;=19%),"1",IF(AND(AC17&gt;=20%,AC17&lt;=29%),"2",IF(AND(AC17&gt;=30%,AC17&lt;=39%),"3",IF(AND(AC17&gt;=40%,AC17&lt;=49%),"4",IF(AND(AC17&gt;=50%,AC17&lt;=59%),"5",IF(AND(AC17&gt;=60%,AC17&lt;=69%),"6",IF(AND(AC17&gt;=70%,AC17&lt;=79%),"7",IF(AND(AC17&gt;=80%,AC17&lt;=89%),"8",IF(AND(AC17&gt;=90%,AC17&lt;=99%),"9",IF(AND(AC17&gt;=100%,AC17&lt;=105%),"10",IF(AND(AC17&gt;=106%),"0","0")))))))))))</f>
        <v>10</v>
      </c>
      <c r="AK17" s="359"/>
      <c r="AL17" s="359"/>
      <c r="AM17" s="359"/>
      <c r="AN17" s="254"/>
      <c r="AO17" s="257">
        <f>AH17+AI17+AJ17</f>
        <v>30</v>
      </c>
      <c r="AP17" s="282">
        <v>30</v>
      </c>
      <c r="AQ17" s="327">
        <f>SUM(H17,L17,Q17,AO17)</f>
        <v>55</v>
      </c>
      <c r="AR17" s="329">
        <f t="shared" ref="AR17" si="5">SUM(AP17,R17,M17,I17)</f>
        <v>55</v>
      </c>
      <c r="AS17" s="285"/>
      <c r="AT17" s="285"/>
      <c r="AU17" s="7"/>
      <c r="AV17" s="131"/>
      <c r="AW17" s="131"/>
      <c r="AX17" s="131"/>
      <c r="AY17" s="131"/>
    </row>
    <row r="18" spans="1:51" ht="26.25" customHeight="1" thickBot="1" x14ac:dyDescent="0.5">
      <c r="A18" s="133"/>
      <c r="B18" s="414"/>
      <c r="C18" s="190"/>
      <c r="D18" s="311"/>
      <c r="E18" s="212"/>
      <c r="F18" s="212"/>
      <c r="G18" s="212"/>
      <c r="H18" s="341"/>
      <c r="I18" s="197"/>
      <c r="J18" s="360"/>
      <c r="K18" s="212"/>
      <c r="L18" s="165"/>
      <c r="M18" s="197"/>
      <c r="N18" s="324"/>
      <c r="O18" s="325"/>
      <c r="P18" s="325"/>
      <c r="Q18" s="237"/>
      <c r="R18" s="197"/>
      <c r="S18" s="273"/>
      <c r="T18" s="273"/>
      <c r="U18" s="273"/>
      <c r="V18" s="299"/>
      <c r="W18" s="321"/>
      <c r="X18" s="295"/>
      <c r="Y18" s="299"/>
      <c r="Z18" s="299"/>
      <c r="AA18" s="270"/>
      <c r="AB18" s="270"/>
      <c r="AC18" s="270"/>
      <c r="AD18" s="317"/>
      <c r="AE18" s="266"/>
      <c r="AF18" s="266"/>
      <c r="AG18" s="266"/>
      <c r="AH18" s="330"/>
      <c r="AI18" s="330"/>
      <c r="AJ18" s="330"/>
      <c r="AK18" s="359"/>
      <c r="AL18" s="359"/>
      <c r="AM18" s="359"/>
      <c r="AN18" s="255"/>
      <c r="AO18" s="258"/>
      <c r="AP18" s="283"/>
      <c r="AQ18" s="328"/>
      <c r="AR18" s="329"/>
      <c r="AS18" s="286"/>
      <c r="AT18" s="286"/>
      <c r="AU18" s="7"/>
      <c r="AV18" s="131"/>
      <c r="AW18" s="131"/>
      <c r="AX18" s="131"/>
      <c r="AY18" s="131"/>
    </row>
    <row r="19" spans="1:51" ht="26.25" customHeight="1" thickBot="1" x14ac:dyDescent="0.5">
      <c r="A19" s="133"/>
      <c r="B19" s="414"/>
      <c r="C19" s="191"/>
      <c r="D19" s="312"/>
      <c r="E19" s="212"/>
      <c r="F19" s="212"/>
      <c r="G19" s="212"/>
      <c r="H19" s="341"/>
      <c r="I19" s="198"/>
      <c r="J19" s="360"/>
      <c r="K19" s="212"/>
      <c r="L19" s="166"/>
      <c r="M19" s="198"/>
      <c r="N19" s="324"/>
      <c r="O19" s="325"/>
      <c r="P19" s="325"/>
      <c r="Q19" s="237"/>
      <c r="R19" s="198"/>
      <c r="S19" s="273"/>
      <c r="T19" s="273"/>
      <c r="U19" s="273"/>
      <c r="V19" s="300"/>
      <c r="W19" s="322"/>
      <c r="X19" s="296"/>
      <c r="Y19" s="300"/>
      <c r="Z19" s="300"/>
      <c r="AA19" s="271"/>
      <c r="AB19" s="271"/>
      <c r="AC19" s="271"/>
      <c r="AD19" s="318"/>
      <c r="AE19" s="267"/>
      <c r="AF19" s="267"/>
      <c r="AG19" s="267"/>
      <c r="AH19" s="330"/>
      <c r="AI19" s="330"/>
      <c r="AJ19" s="330"/>
      <c r="AK19" s="359"/>
      <c r="AL19" s="359"/>
      <c r="AM19" s="359"/>
      <c r="AN19" s="256"/>
      <c r="AO19" s="258"/>
      <c r="AP19" s="354"/>
      <c r="AQ19" s="328"/>
      <c r="AR19" s="329"/>
      <c r="AS19" s="287"/>
      <c r="AT19" s="287"/>
      <c r="AU19" s="7"/>
      <c r="AV19" s="131"/>
      <c r="AW19" s="131"/>
      <c r="AX19" s="131"/>
      <c r="AY19" s="131"/>
    </row>
    <row r="20" spans="1:51" ht="41.85" customHeight="1" thickBot="1" x14ac:dyDescent="0.5">
      <c r="A20" s="133"/>
      <c r="B20" s="414"/>
      <c r="C20" s="189" t="s">
        <v>52</v>
      </c>
      <c r="D20" s="123" t="s">
        <v>53</v>
      </c>
      <c r="E20" s="110">
        <v>2</v>
      </c>
      <c r="F20" s="110">
        <v>0</v>
      </c>
      <c r="G20" s="110">
        <v>2</v>
      </c>
      <c r="H20" s="34">
        <f t="shared" ref="H20" si="6">E20+F20+G20</f>
        <v>4</v>
      </c>
      <c r="I20" s="113">
        <v>6</v>
      </c>
      <c r="J20" s="110">
        <v>0</v>
      </c>
      <c r="K20" s="110">
        <v>2</v>
      </c>
      <c r="L20" s="12">
        <f>SUM(J20:K20)</f>
        <v>2</v>
      </c>
      <c r="M20" s="113">
        <v>4</v>
      </c>
      <c r="N20" s="110">
        <v>0</v>
      </c>
      <c r="O20" s="110">
        <v>0</v>
      </c>
      <c r="P20" s="110">
        <v>0</v>
      </c>
      <c r="Q20" s="12">
        <f>SUM(N20:P22)</f>
        <v>0</v>
      </c>
      <c r="R20" s="113">
        <v>15</v>
      </c>
      <c r="S20" s="110">
        <v>11</v>
      </c>
      <c r="T20" s="110">
        <v>0</v>
      </c>
      <c r="U20" s="110">
        <v>11</v>
      </c>
      <c r="V20" s="112"/>
      <c r="W20" s="110">
        <v>11</v>
      </c>
      <c r="X20" s="112"/>
      <c r="Y20" s="150"/>
      <c r="Z20" s="112"/>
      <c r="AA20" s="107">
        <f>S20/W20</f>
        <v>1</v>
      </c>
      <c r="AB20" s="107">
        <f>T20/W20</f>
        <v>0</v>
      </c>
      <c r="AC20" s="107">
        <f>U20/W20</f>
        <v>1</v>
      </c>
      <c r="AD20" s="136"/>
      <c r="AE20" s="136"/>
      <c r="AF20" s="152"/>
      <c r="AG20" s="115"/>
      <c r="AH20" s="111"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11" t="str">
        <f t="shared" si="7"/>
        <v>0</v>
      </c>
      <c r="AJ20" s="111" t="str">
        <f t="shared" si="7"/>
        <v>10</v>
      </c>
      <c r="AK20" s="114"/>
      <c r="AL20" s="114"/>
      <c r="AM20" s="114"/>
      <c r="AN20" s="114"/>
      <c r="AO20" s="15">
        <f>AH20+AI20+AJ20+AM20</f>
        <v>20</v>
      </c>
      <c r="AP20" s="20">
        <v>30</v>
      </c>
      <c r="AQ20" s="32">
        <f>SUM(H20,L20,Q20,AO20)</f>
        <v>26</v>
      </c>
      <c r="AR20" s="33">
        <f t="shared" ref="AR20" si="8">SUM(AP20,R20,M20,I20)</f>
        <v>55</v>
      </c>
      <c r="AS20" s="108"/>
      <c r="AT20" s="108"/>
      <c r="AU20" s="124"/>
      <c r="AV20" s="137"/>
      <c r="AW20" s="137"/>
      <c r="AX20" s="137"/>
      <c r="AY20" s="137"/>
    </row>
    <row r="21" spans="1:51" ht="41.85" customHeight="1" thickBot="1" x14ac:dyDescent="0.5">
      <c r="A21" s="133"/>
      <c r="B21" s="414"/>
      <c r="C21" s="190"/>
      <c r="D21" s="123" t="s">
        <v>54</v>
      </c>
      <c r="E21" s="110">
        <v>2</v>
      </c>
      <c r="F21" s="110">
        <v>0</v>
      </c>
      <c r="G21" s="110">
        <v>2</v>
      </c>
      <c r="H21" s="34">
        <f t="shared" ref="H21:H23" si="9">E21+F21+G21</f>
        <v>4</v>
      </c>
      <c r="I21" s="113">
        <v>6</v>
      </c>
      <c r="J21" s="110">
        <v>0</v>
      </c>
      <c r="K21" s="110">
        <v>2</v>
      </c>
      <c r="L21" s="12">
        <f>SUM(J21:K21)</f>
        <v>2</v>
      </c>
      <c r="M21" s="113">
        <v>4</v>
      </c>
      <c r="N21" s="110">
        <v>0</v>
      </c>
      <c r="O21" s="110">
        <v>0</v>
      </c>
      <c r="P21" s="110">
        <v>0</v>
      </c>
      <c r="Q21" s="12">
        <f>SUM(N21:P23)</f>
        <v>0</v>
      </c>
      <c r="R21" s="113">
        <v>15</v>
      </c>
      <c r="S21" s="110">
        <v>2</v>
      </c>
      <c r="T21" s="110">
        <v>0</v>
      </c>
      <c r="U21" s="110">
        <v>2</v>
      </c>
      <c r="V21" s="112"/>
      <c r="W21" s="110">
        <v>2</v>
      </c>
      <c r="X21" s="112"/>
      <c r="Y21" s="150"/>
      <c r="Z21" s="112"/>
      <c r="AA21" s="107">
        <f>S21/W21</f>
        <v>1</v>
      </c>
      <c r="AB21" s="107">
        <f>T21/W21</f>
        <v>0</v>
      </c>
      <c r="AC21" s="107">
        <f>U21/W21</f>
        <v>1</v>
      </c>
      <c r="AD21" s="136"/>
      <c r="AE21" s="136"/>
      <c r="AF21" s="152"/>
      <c r="AG21" s="115"/>
      <c r="AH21" s="111" t="str">
        <f t="shared" si="7"/>
        <v>10</v>
      </c>
      <c r="AI21" s="111" t="str">
        <f t="shared" si="7"/>
        <v>0</v>
      </c>
      <c r="AJ21" s="111" t="str">
        <f t="shared" si="7"/>
        <v>10</v>
      </c>
      <c r="AK21" s="114"/>
      <c r="AL21" s="114"/>
      <c r="AM21" s="114"/>
      <c r="AN21" s="114"/>
      <c r="AO21" s="15">
        <f t="shared" ref="AO21:AO23" si="10">AH21+AI21+AJ21+AM21</f>
        <v>20</v>
      </c>
      <c r="AP21" s="20">
        <v>30</v>
      </c>
      <c r="AQ21" s="32">
        <f>SUM(H21,L21,Q21,AO21)</f>
        <v>26</v>
      </c>
      <c r="AR21" s="33">
        <f t="shared" ref="AR21:AR23" si="11">SUM(AP21,R21,M21,I21)</f>
        <v>55</v>
      </c>
      <c r="AS21" s="19"/>
      <c r="AT21" s="19"/>
      <c r="AU21" s="124"/>
      <c r="AV21" s="137"/>
      <c r="AW21" s="137"/>
      <c r="AX21" s="137"/>
      <c r="AY21" s="137"/>
    </row>
    <row r="22" spans="1:51" ht="41.85" customHeight="1" thickBot="1" x14ac:dyDescent="0.5">
      <c r="A22" s="133"/>
      <c r="B22" s="414"/>
      <c r="C22" s="190"/>
      <c r="D22" s="123" t="s">
        <v>55</v>
      </c>
      <c r="E22" s="110">
        <v>2</v>
      </c>
      <c r="F22" s="110">
        <v>0</v>
      </c>
      <c r="G22" s="110">
        <v>2</v>
      </c>
      <c r="H22" s="34">
        <f t="shared" si="9"/>
        <v>4</v>
      </c>
      <c r="I22" s="113">
        <v>6</v>
      </c>
      <c r="J22" s="110">
        <v>0</v>
      </c>
      <c r="K22" s="110">
        <v>2</v>
      </c>
      <c r="L22" s="12">
        <f>SUM(J22:K22)</f>
        <v>2</v>
      </c>
      <c r="M22" s="113">
        <v>4</v>
      </c>
      <c r="N22" s="110">
        <v>0</v>
      </c>
      <c r="O22" s="110">
        <v>0</v>
      </c>
      <c r="P22" s="110">
        <v>0</v>
      </c>
      <c r="Q22" s="12">
        <v>0</v>
      </c>
      <c r="R22" s="113">
        <v>15</v>
      </c>
      <c r="S22" s="110">
        <v>2</v>
      </c>
      <c r="T22" s="110">
        <v>0</v>
      </c>
      <c r="U22" s="110">
        <v>2</v>
      </c>
      <c r="V22" s="112"/>
      <c r="W22" s="110">
        <v>2</v>
      </c>
      <c r="X22" s="112"/>
      <c r="Y22" s="149"/>
      <c r="Z22" s="112"/>
      <c r="AA22" s="107">
        <f>S22/W22</f>
        <v>1</v>
      </c>
      <c r="AB22" s="107">
        <f>T22/W22</f>
        <v>0</v>
      </c>
      <c r="AC22" s="107">
        <f>U22/W22</f>
        <v>1</v>
      </c>
      <c r="AD22" s="136"/>
      <c r="AE22" s="136"/>
      <c r="AF22" s="154"/>
      <c r="AG22" s="115"/>
      <c r="AH22" s="111" t="str">
        <f t="shared" si="7"/>
        <v>10</v>
      </c>
      <c r="AI22" s="111" t="str">
        <f t="shared" si="7"/>
        <v>0</v>
      </c>
      <c r="AJ22" s="111" t="str">
        <f t="shared" si="7"/>
        <v>10</v>
      </c>
      <c r="AK22" s="114"/>
      <c r="AL22" s="114"/>
      <c r="AM22" s="153"/>
      <c r="AN22" s="114"/>
      <c r="AO22" s="15">
        <f t="shared" si="10"/>
        <v>20</v>
      </c>
      <c r="AP22" s="20">
        <v>30</v>
      </c>
      <c r="AQ22" s="32">
        <f>SUM(H22,L22,Q22,AO22)</f>
        <v>26</v>
      </c>
      <c r="AR22" s="33">
        <f t="shared" si="11"/>
        <v>55</v>
      </c>
      <c r="AS22" s="19"/>
      <c r="AT22" s="19"/>
      <c r="AU22" s="124"/>
      <c r="AV22" s="137"/>
      <c r="AW22" s="137"/>
      <c r="AX22" s="137"/>
      <c r="AY22" s="137"/>
    </row>
    <row r="23" spans="1:51" ht="41.85" customHeight="1" thickBot="1" x14ac:dyDescent="0.5">
      <c r="A23" s="133"/>
      <c r="B23" s="414"/>
      <c r="C23" s="191"/>
      <c r="D23" s="123" t="s">
        <v>56</v>
      </c>
      <c r="E23" s="110">
        <v>2</v>
      </c>
      <c r="F23" s="110">
        <v>0</v>
      </c>
      <c r="G23" s="110">
        <v>2</v>
      </c>
      <c r="H23" s="34">
        <f t="shared" si="9"/>
        <v>4</v>
      </c>
      <c r="I23" s="113">
        <v>6</v>
      </c>
      <c r="J23" s="110">
        <v>0</v>
      </c>
      <c r="K23" s="110">
        <v>2</v>
      </c>
      <c r="L23" s="12">
        <f>SUM(J23:K23)</f>
        <v>2</v>
      </c>
      <c r="M23" s="113">
        <v>4</v>
      </c>
      <c r="N23" s="110">
        <v>0</v>
      </c>
      <c r="O23" s="110">
        <v>0</v>
      </c>
      <c r="P23" s="110">
        <v>0</v>
      </c>
      <c r="Q23" s="12">
        <v>0</v>
      </c>
      <c r="R23" s="113">
        <v>15</v>
      </c>
      <c r="S23" s="110">
        <v>2</v>
      </c>
      <c r="T23" s="110">
        <v>0</v>
      </c>
      <c r="U23" s="110">
        <v>2</v>
      </c>
      <c r="V23" s="112"/>
      <c r="W23" s="110">
        <v>2</v>
      </c>
      <c r="X23" s="112"/>
      <c r="Y23" s="110">
        <v>3</v>
      </c>
      <c r="Z23" s="112"/>
      <c r="AA23" s="107">
        <f>S23/W23</f>
        <v>1</v>
      </c>
      <c r="AB23" s="107">
        <f>T23/W23</f>
        <v>0</v>
      </c>
      <c r="AC23" s="107">
        <f>U23/W23</f>
        <v>1</v>
      </c>
      <c r="AD23" s="136"/>
      <c r="AE23" s="136"/>
      <c r="AF23" s="107">
        <f t="shared" ref="AF23" si="12">Y23/W23</f>
        <v>1.5</v>
      </c>
      <c r="AG23" s="115"/>
      <c r="AH23" s="111" t="str">
        <f t="shared" si="7"/>
        <v>10</v>
      </c>
      <c r="AI23" s="111" t="str">
        <f t="shared" si="7"/>
        <v>0</v>
      </c>
      <c r="AJ23" s="111" t="str">
        <f t="shared" si="7"/>
        <v>10</v>
      </c>
      <c r="AK23" s="114"/>
      <c r="AL23" s="114"/>
      <c r="AM23" s="111" t="str">
        <f>IF(AND(AF23&gt;=10%,AF23&lt;=19%),"1",IF(AND(AF23&gt;=20%,AF23&lt;=29%),"2",IF(AND(AF23&gt;=30%,AF23&lt;=39%),"3",IF(AND(AF23&gt;=40%,AF23&lt;=49%),"4",IF(AND(AF23&gt;=50%,AF23&lt;=59%),"5",IF(AND(AF23&gt;=60%,AF23&lt;=69%),"6",IF(AND(AF23&gt;=70%,AF23&lt;=79%),"7",IF(AND(AF23&gt;=80%,AF23&lt;=89%),"8",IF(AND(AF23&gt;=90%,AF23&lt;=99%),"9",IF(AND(AF23&gt;=100%,AF23&lt;=105%),"10",IF(AND(AF23&gt;=106%),"0","0")))))))))))</f>
        <v>0</v>
      </c>
      <c r="AN23" s="114"/>
      <c r="AO23" s="15">
        <f t="shared" si="10"/>
        <v>20</v>
      </c>
      <c r="AP23" s="20">
        <v>40</v>
      </c>
      <c r="AQ23" s="32">
        <f>SUM(H23,L23,Q23,AO23)</f>
        <v>26</v>
      </c>
      <c r="AR23" s="33">
        <f t="shared" si="11"/>
        <v>65</v>
      </c>
      <c r="AS23" s="109"/>
      <c r="AT23" s="109"/>
      <c r="AU23" s="124"/>
      <c r="AV23" s="137"/>
      <c r="AW23" s="137"/>
      <c r="AX23" s="137"/>
      <c r="AY23" s="137"/>
    </row>
    <row r="24" spans="1:51" ht="26.25" customHeight="1" thickBot="1" x14ac:dyDescent="0.5">
      <c r="A24" s="133"/>
      <c r="B24" s="414"/>
      <c r="C24" s="189" t="s">
        <v>57</v>
      </c>
      <c r="D24" s="310" t="s">
        <v>58</v>
      </c>
      <c r="E24" s="183">
        <v>2</v>
      </c>
      <c r="F24" s="183">
        <v>2</v>
      </c>
      <c r="G24" s="183">
        <v>2</v>
      </c>
      <c r="H24" s="341">
        <f t="shared" ref="H24" si="13">E24+F24+G24</f>
        <v>6</v>
      </c>
      <c r="I24" s="196">
        <v>6</v>
      </c>
      <c r="J24" s="189">
        <v>2</v>
      </c>
      <c r="K24" s="189">
        <v>2</v>
      </c>
      <c r="L24" s="164">
        <f>SUM(J24:K26)</f>
        <v>4</v>
      </c>
      <c r="M24" s="188">
        <v>4</v>
      </c>
      <c r="N24" s="297">
        <v>5</v>
      </c>
      <c r="O24" s="273">
        <v>5</v>
      </c>
      <c r="P24" s="273">
        <v>5</v>
      </c>
      <c r="Q24" s="237">
        <f>SUM(N24:P26)</f>
        <v>15</v>
      </c>
      <c r="R24" s="188">
        <v>15</v>
      </c>
      <c r="S24" s="273">
        <v>395</v>
      </c>
      <c r="T24" s="273">
        <v>395</v>
      </c>
      <c r="U24" s="273">
        <v>393</v>
      </c>
      <c r="V24" s="298"/>
      <c r="W24" s="339">
        <v>395</v>
      </c>
      <c r="X24" s="306"/>
      <c r="Y24" s="268"/>
      <c r="Z24" s="306"/>
      <c r="AA24" s="270">
        <f>S24/W24</f>
        <v>1</v>
      </c>
      <c r="AB24" s="270">
        <f>T24/W24</f>
        <v>1</v>
      </c>
      <c r="AC24" s="270">
        <f>U24/W24</f>
        <v>0.99493670886075947</v>
      </c>
      <c r="AD24" s="332"/>
      <c r="AE24" s="344"/>
      <c r="AF24" s="315"/>
      <c r="AG24" s="265"/>
      <c r="AH24" s="330" t="str">
        <f t="shared" si="7"/>
        <v>10</v>
      </c>
      <c r="AI24" s="330" t="str">
        <f t="shared" si="7"/>
        <v>10</v>
      </c>
      <c r="AJ24" s="330">
        <v>9</v>
      </c>
      <c r="AK24" s="331"/>
      <c r="AL24" s="331"/>
      <c r="AM24" s="331"/>
      <c r="AN24" s="254"/>
      <c r="AO24" s="257">
        <f>AH24+AI24+AJ24+AL24</f>
        <v>29</v>
      </c>
      <c r="AP24" s="260">
        <v>30</v>
      </c>
      <c r="AQ24" s="327">
        <f>SUM(H24,L24,Q24,AO24)</f>
        <v>54</v>
      </c>
      <c r="AR24" s="329">
        <f t="shared" ref="AR24:AR33" si="14">SUM(AP24,R24,M24,I24)</f>
        <v>55</v>
      </c>
      <c r="AS24" s="285"/>
      <c r="AT24" s="285"/>
      <c r="AU24" s="7"/>
      <c r="AV24" s="131"/>
      <c r="AW24" s="131"/>
      <c r="AX24" s="131"/>
      <c r="AY24" s="131"/>
    </row>
    <row r="25" spans="1:51" ht="26.25" customHeight="1" thickBot="1" x14ac:dyDescent="0.5">
      <c r="A25" s="133"/>
      <c r="B25" s="414"/>
      <c r="C25" s="190"/>
      <c r="D25" s="311"/>
      <c r="E25" s="183"/>
      <c r="F25" s="183"/>
      <c r="G25" s="183"/>
      <c r="H25" s="341"/>
      <c r="I25" s="197"/>
      <c r="J25" s="190"/>
      <c r="K25" s="190"/>
      <c r="L25" s="165"/>
      <c r="M25" s="188"/>
      <c r="N25" s="297"/>
      <c r="O25" s="273"/>
      <c r="P25" s="273"/>
      <c r="Q25" s="237"/>
      <c r="R25" s="188"/>
      <c r="S25" s="273"/>
      <c r="T25" s="273"/>
      <c r="U25" s="273"/>
      <c r="V25" s="299"/>
      <c r="W25" s="339"/>
      <c r="X25" s="306"/>
      <c r="Y25" s="268"/>
      <c r="Z25" s="306"/>
      <c r="AA25" s="270"/>
      <c r="AB25" s="270"/>
      <c r="AC25" s="270"/>
      <c r="AD25" s="332"/>
      <c r="AE25" s="344"/>
      <c r="AF25" s="315"/>
      <c r="AG25" s="266"/>
      <c r="AH25" s="330"/>
      <c r="AI25" s="330"/>
      <c r="AJ25" s="330"/>
      <c r="AK25" s="331"/>
      <c r="AL25" s="331"/>
      <c r="AM25" s="331"/>
      <c r="AN25" s="255"/>
      <c r="AO25" s="258"/>
      <c r="AP25" s="260"/>
      <c r="AQ25" s="328"/>
      <c r="AR25" s="329"/>
      <c r="AS25" s="286"/>
      <c r="AT25" s="286"/>
      <c r="AU25" s="7"/>
      <c r="AV25" s="131"/>
      <c r="AW25" s="131"/>
      <c r="AX25" s="131"/>
      <c r="AY25" s="131"/>
    </row>
    <row r="26" spans="1:51" ht="26.25" customHeight="1" thickBot="1" x14ac:dyDescent="0.5">
      <c r="A26" s="133"/>
      <c r="B26" s="414"/>
      <c r="C26" s="191"/>
      <c r="D26" s="312"/>
      <c r="E26" s="183"/>
      <c r="F26" s="183"/>
      <c r="G26" s="183"/>
      <c r="H26" s="341"/>
      <c r="I26" s="198"/>
      <c r="J26" s="191"/>
      <c r="K26" s="191"/>
      <c r="L26" s="166"/>
      <c r="M26" s="188"/>
      <c r="N26" s="297"/>
      <c r="O26" s="273"/>
      <c r="P26" s="273"/>
      <c r="Q26" s="237"/>
      <c r="R26" s="188"/>
      <c r="S26" s="273"/>
      <c r="T26" s="273"/>
      <c r="U26" s="273"/>
      <c r="V26" s="300"/>
      <c r="W26" s="339"/>
      <c r="X26" s="306"/>
      <c r="Y26" s="268"/>
      <c r="Z26" s="306"/>
      <c r="AA26" s="271"/>
      <c r="AB26" s="271"/>
      <c r="AC26" s="271"/>
      <c r="AD26" s="332"/>
      <c r="AE26" s="344"/>
      <c r="AF26" s="315"/>
      <c r="AG26" s="267"/>
      <c r="AH26" s="330"/>
      <c r="AI26" s="330"/>
      <c r="AJ26" s="330"/>
      <c r="AK26" s="331"/>
      <c r="AL26" s="331"/>
      <c r="AM26" s="331"/>
      <c r="AN26" s="256"/>
      <c r="AO26" s="259"/>
      <c r="AP26" s="260"/>
      <c r="AQ26" s="328"/>
      <c r="AR26" s="329"/>
      <c r="AS26" s="287"/>
      <c r="AT26" s="287"/>
      <c r="AU26" s="7"/>
      <c r="AV26" s="131"/>
      <c r="AW26" s="131"/>
      <c r="AX26" s="131"/>
      <c r="AY26" s="131"/>
    </row>
    <row r="27" spans="1:51" ht="26.25" customHeight="1" thickBot="1" x14ac:dyDescent="0.5">
      <c r="A27" s="133"/>
      <c r="B27" s="414"/>
      <c r="C27" s="189" t="s">
        <v>59</v>
      </c>
      <c r="D27" s="310" t="s">
        <v>60</v>
      </c>
      <c r="E27" s="212">
        <v>2</v>
      </c>
      <c r="F27" s="212">
        <v>2</v>
      </c>
      <c r="G27" s="212">
        <v>2</v>
      </c>
      <c r="H27" s="341">
        <f t="shared" ref="H27" si="15">E27+F27+G27</f>
        <v>6</v>
      </c>
      <c r="I27" s="196">
        <v>6</v>
      </c>
      <c r="J27" s="238">
        <v>2</v>
      </c>
      <c r="K27" s="238">
        <v>2</v>
      </c>
      <c r="L27" s="164">
        <f>SUM(J27:K29)</f>
        <v>4</v>
      </c>
      <c r="M27" s="188">
        <v>4</v>
      </c>
      <c r="N27" s="324">
        <v>5</v>
      </c>
      <c r="O27" s="325">
        <v>5</v>
      </c>
      <c r="P27" s="325">
        <v>5</v>
      </c>
      <c r="Q27" s="340">
        <f>SUM(N27:P29)</f>
        <v>15</v>
      </c>
      <c r="R27" s="188">
        <v>15</v>
      </c>
      <c r="S27" s="325">
        <v>395</v>
      </c>
      <c r="T27" s="325">
        <v>395</v>
      </c>
      <c r="U27" s="325">
        <v>393</v>
      </c>
      <c r="V27" s="273">
        <v>393</v>
      </c>
      <c r="W27" s="342">
        <v>395</v>
      </c>
      <c r="X27" s="343"/>
      <c r="Y27" s="268"/>
      <c r="Z27" s="273">
        <v>395</v>
      </c>
      <c r="AA27" s="269">
        <f>S27/W27</f>
        <v>1</v>
      </c>
      <c r="AB27" s="269">
        <f>T27/W27</f>
        <v>1</v>
      </c>
      <c r="AC27" s="269">
        <f>U27/W27</f>
        <v>0.99493670886075947</v>
      </c>
      <c r="AD27" s="358">
        <f>V27/W27</f>
        <v>0.99493670886075947</v>
      </c>
      <c r="AE27" s="344"/>
      <c r="AF27" s="315"/>
      <c r="AG27" s="336">
        <f>Z27/W27</f>
        <v>1</v>
      </c>
      <c r="AH27" s="326" t="str">
        <f>IF(AND(AA27&gt;=10%,AA27&lt;=19%),"1",IF(AND(AA27&gt;=20%,AA27&lt;=29%),"2",IF(AND(AA27&gt;=30%,AA27&lt;=39%),"3",IF(AND(AA27&gt;=40%,AA27&lt;=49%),"4",IF(AND(AA27&gt;=50%,AA27&lt;=59%),"5",IF(AND(AA27&gt;=60%,AA27&lt;=69%),"6",IF(AND(AA27&gt;=70%,AA27&lt;=79%),"7",IF(AND(AA27&gt;=80%,AA27&lt;=89%),"8",IF(AND(AA27&gt;=90%,AA27&lt;=99%),"9",IF(AND(AA27&gt;=100%,AA27&lt;=105%),"10",IF(AND(AA27&gt;=106%),"0","0")))))))))))</f>
        <v>10</v>
      </c>
      <c r="AI27" s="326" t="str">
        <f t="shared" ref="AI27" si="16">IF(AND(AB27&gt;=10%,AB27&lt;=19%),"1",IF(AND(AB27&gt;=20%,AB27&lt;=29%),"2",IF(AND(AB27&gt;=30%,AB27&lt;=39%),"3",IF(AND(AB27&gt;=40%,AB27&lt;=49%),"4",IF(AND(AB27&gt;=50%,AB27&lt;=59%),"5",IF(AND(AB27&gt;=60%,AB27&lt;=69%),"6",IF(AND(AB27&gt;=70%,AB27&lt;=79%),"7",IF(AND(AB27&gt;=80%,AB27&lt;=89%),"8",IF(AND(AB27&gt;=90%,AB27&lt;=99%),"9",IF(AND(AB27&gt;=100%,AB27&lt;=105%),"10",IF(AND(AB27&gt;=106%),"0","0")))))))))))</f>
        <v>10</v>
      </c>
      <c r="AJ27" s="326">
        <v>9</v>
      </c>
      <c r="AK27" s="326">
        <v>9</v>
      </c>
      <c r="AL27" s="331"/>
      <c r="AM27" s="331"/>
      <c r="AN27" s="346" t="str">
        <f>IF(AND(AG27&gt;=10%,AG27&lt;=19%),"1",IF(AND(AG27&gt;=20%,AG27&lt;=29%),"2",IF(AND(AG27&gt;=30%,AG27&lt;=39%),"3",IF(AND(AG27&gt;=40%,AG27&lt;=49%),"4",IF(AND(AG27&gt;=50%,AG27&lt;=59%),"5",IF(AND(AG27&gt;=60%,AG27&lt;=69%),"6",IF(AND(AG27&gt;=70%,AG27&lt;=79%),"7",IF(AND(AG27&gt;=80%,AG27&lt;=89%),"8",IF(AND(AG27&gt;=90%,AG27&lt;=99%),"9",IF(AND(AG27&gt;=100%,AG27&lt;=105%),"10",IF(AND(AG27&gt;=106%),"0","0")))))))))))</f>
        <v>10</v>
      </c>
      <c r="AO27" s="257">
        <f>AH27+AI27+AJ27+AK27+AL27+AN27</f>
        <v>48</v>
      </c>
      <c r="AP27" s="260">
        <v>50</v>
      </c>
      <c r="AQ27" s="327">
        <f>SUM(H27,L27,Q27,AO27)</f>
        <v>73</v>
      </c>
      <c r="AR27" s="329">
        <f t="shared" si="14"/>
        <v>75</v>
      </c>
      <c r="AS27" s="285"/>
      <c r="AT27" s="285"/>
      <c r="AU27" s="7"/>
      <c r="AV27" s="131"/>
      <c r="AW27" s="131"/>
      <c r="AX27" s="131"/>
      <c r="AY27" s="131"/>
    </row>
    <row r="28" spans="1:51" ht="26.25" customHeight="1" thickBot="1" x14ac:dyDescent="0.5">
      <c r="A28" s="133"/>
      <c r="B28" s="414"/>
      <c r="C28" s="190"/>
      <c r="D28" s="311"/>
      <c r="E28" s="212"/>
      <c r="F28" s="212"/>
      <c r="G28" s="212"/>
      <c r="H28" s="341"/>
      <c r="I28" s="197"/>
      <c r="J28" s="239"/>
      <c r="K28" s="239"/>
      <c r="L28" s="165"/>
      <c r="M28" s="188"/>
      <c r="N28" s="324"/>
      <c r="O28" s="325"/>
      <c r="P28" s="325"/>
      <c r="Q28" s="340"/>
      <c r="R28" s="188"/>
      <c r="S28" s="325"/>
      <c r="T28" s="325"/>
      <c r="U28" s="325"/>
      <c r="V28" s="273"/>
      <c r="W28" s="342"/>
      <c r="X28" s="343"/>
      <c r="Y28" s="268"/>
      <c r="Z28" s="273"/>
      <c r="AA28" s="270"/>
      <c r="AB28" s="270"/>
      <c r="AC28" s="270"/>
      <c r="AD28" s="358"/>
      <c r="AE28" s="344"/>
      <c r="AF28" s="315"/>
      <c r="AG28" s="337"/>
      <c r="AH28" s="326"/>
      <c r="AI28" s="326"/>
      <c r="AJ28" s="326"/>
      <c r="AK28" s="326"/>
      <c r="AL28" s="331"/>
      <c r="AM28" s="331"/>
      <c r="AN28" s="346"/>
      <c r="AO28" s="258"/>
      <c r="AP28" s="260"/>
      <c r="AQ28" s="328"/>
      <c r="AR28" s="329"/>
      <c r="AS28" s="286"/>
      <c r="AT28" s="286"/>
      <c r="AU28" s="7"/>
      <c r="AV28" s="131"/>
      <c r="AW28" s="131"/>
      <c r="AX28" s="131"/>
      <c r="AY28" s="131"/>
    </row>
    <row r="29" spans="1:51" ht="26.25" customHeight="1" thickBot="1" x14ac:dyDescent="0.5">
      <c r="A29" s="133"/>
      <c r="B29" s="414"/>
      <c r="C29" s="191"/>
      <c r="D29" s="312"/>
      <c r="E29" s="212"/>
      <c r="F29" s="212"/>
      <c r="G29" s="212"/>
      <c r="H29" s="341"/>
      <c r="I29" s="198"/>
      <c r="J29" s="240"/>
      <c r="K29" s="240"/>
      <c r="L29" s="166"/>
      <c r="M29" s="188"/>
      <c r="N29" s="324"/>
      <c r="O29" s="325"/>
      <c r="P29" s="325"/>
      <c r="Q29" s="340"/>
      <c r="R29" s="188"/>
      <c r="S29" s="325"/>
      <c r="T29" s="325"/>
      <c r="U29" s="325"/>
      <c r="V29" s="273"/>
      <c r="W29" s="342"/>
      <c r="X29" s="343"/>
      <c r="Y29" s="268"/>
      <c r="Z29" s="273"/>
      <c r="AA29" s="271"/>
      <c r="AB29" s="271"/>
      <c r="AC29" s="271"/>
      <c r="AD29" s="358"/>
      <c r="AE29" s="344"/>
      <c r="AF29" s="315"/>
      <c r="AG29" s="338"/>
      <c r="AH29" s="326"/>
      <c r="AI29" s="326"/>
      <c r="AJ29" s="326"/>
      <c r="AK29" s="326"/>
      <c r="AL29" s="331"/>
      <c r="AM29" s="331"/>
      <c r="AN29" s="347"/>
      <c r="AO29" s="259"/>
      <c r="AP29" s="260"/>
      <c r="AQ29" s="328"/>
      <c r="AR29" s="329"/>
      <c r="AS29" s="287"/>
      <c r="AT29" s="287"/>
      <c r="AU29" s="7"/>
      <c r="AV29" s="131"/>
      <c r="AW29" s="131"/>
      <c r="AX29" s="131"/>
      <c r="AY29" s="131"/>
    </row>
    <row r="30" spans="1:51" ht="26.25" customHeight="1" thickBot="1" x14ac:dyDescent="0.5">
      <c r="A30" s="133"/>
      <c r="B30" s="414"/>
      <c r="C30" s="189" t="s">
        <v>61</v>
      </c>
      <c r="D30" s="310" t="s">
        <v>62</v>
      </c>
      <c r="E30" s="212">
        <v>2</v>
      </c>
      <c r="F30" s="212">
        <v>2</v>
      </c>
      <c r="G30" s="212">
        <v>2</v>
      </c>
      <c r="H30" s="341">
        <f t="shared" ref="H30" si="17">E30+F30+G30</f>
        <v>6</v>
      </c>
      <c r="I30" s="196">
        <v>6</v>
      </c>
      <c r="J30" s="238">
        <v>2</v>
      </c>
      <c r="K30" s="238">
        <v>2</v>
      </c>
      <c r="L30" s="164">
        <f>SUM(J30:K32)</f>
        <v>4</v>
      </c>
      <c r="M30" s="196">
        <v>4</v>
      </c>
      <c r="N30" s="324">
        <v>5</v>
      </c>
      <c r="O30" s="325">
        <v>5</v>
      </c>
      <c r="P30" s="325">
        <v>5</v>
      </c>
      <c r="Q30" s="340">
        <f>SUM(N30:P32)</f>
        <v>15</v>
      </c>
      <c r="R30" s="196">
        <v>15</v>
      </c>
      <c r="S30" s="303">
        <v>5</v>
      </c>
      <c r="T30" s="303">
        <v>5</v>
      </c>
      <c r="U30" s="303">
        <v>3</v>
      </c>
      <c r="V30" s="303">
        <v>3</v>
      </c>
      <c r="W30" s="320">
        <v>5</v>
      </c>
      <c r="X30" s="294"/>
      <c r="Y30" s="294"/>
      <c r="Z30" s="348"/>
      <c r="AA30" s="269">
        <f>S30/W30</f>
        <v>1</v>
      </c>
      <c r="AB30" s="269">
        <f>T30/W30</f>
        <v>1</v>
      </c>
      <c r="AC30" s="269">
        <f>U30/W30</f>
        <v>0.6</v>
      </c>
      <c r="AD30" s="355">
        <f>V30/W30</f>
        <v>0.6</v>
      </c>
      <c r="AE30" s="333"/>
      <c r="AF30" s="265"/>
      <c r="AG30" s="336">
        <f>Z30/W30</f>
        <v>0</v>
      </c>
      <c r="AH30" s="251" t="str">
        <f>IF(AND(AA30&gt;=10%,AA30&lt;=19%),"1",IF(AND(AA30&gt;=20%,AA30&lt;=29%),"2",IF(AND(AA30&gt;=30%,AA30&lt;=39%),"3",IF(AND(AA30&gt;=40%,AA30&lt;=49%),"4",IF(AND(AA30&gt;=50%,AA30&lt;=59%),"5",IF(AND(AA30&gt;=60%,AA30&lt;=69%),"6",IF(AND(AA30&gt;=70%,AA30&lt;=79%),"7",IF(AND(AA30&gt;=80%,AA30&lt;=89%),"8",IF(AND(AA30&gt;=90%,AA30&lt;=99%),"9",IF(AND(AA30&gt;=100%,AA30&lt;=105%),"10",IF(AND(AA30&gt;=106%),"0","0")))))))))))</f>
        <v>10</v>
      </c>
      <c r="AI30" s="251" t="str">
        <f>IF(AND(AB30&gt;=10%,AB30&lt;=19%),"1",IF(AND(AB30&gt;=20%,AB30&lt;=29%),"2",IF(AND(AB30&gt;=30%,AB30&lt;=39%),"3",IF(AND(AB30&gt;=40%,AB30&lt;=49%),"4",IF(AND(AB30&gt;=50%,AB30&lt;=59%),"5",IF(AND(AB30&gt;=60%,AB30&lt;=69%),"6",IF(AND(AB30&gt;=70%,AB30&lt;=79%),"7",IF(AND(AB30&gt;=80%,AB30&lt;=89%),"8",IF(AND(AB30&gt;=90%,AB30&lt;=99%),"9",IF(AND(AB30&gt;=100%,AB30&lt;=105%),"10",IF(AND(AB30&gt;=106%),"0","0")))))))))))</f>
        <v>10</v>
      </c>
      <c r="AJ30" s="251" t="str">
        <f>IF(AND(AC30&gt;=10%,AC30&lt;=19%),"1",IF(AND(AC30&gt;=20%,AC30&lt;=29%),"2",IF(AND(AC30&gt;=30%,AC30&lt;=39%),"3",IF(AND(AC30&gt;=40%,AC30&lt;=49%),"4",IF(AND(AC30&gt;=50%,AC30&lt;=59%),"5",IF(AND(AC30&gt;=60%,AC30&lt;=69%),"6",IF(AND(AC30&gt;=70%,AC30&lt;=79%),"7",IF(AND(AC30&gt;=80%,AC30&lt;=89%),"8",IF(AND(AC30&gt;=90%,AC30&lt;=99%),"9",IF(AND(AC30&gt;=100%,AC30&lt;=105%),"10",IF(AND(AC30&gt;=106%),"0","0")))))))))))</f>
        <v>6</v>
      </c>
      <c r="AK30" s="345" t="str">
        <f>IF(AND(AD30&gt;=10%,AD30&lt;=19%),"1",IF(AND(AD30&gt;=20%,AD30&lt;=29%),"2",IF(AND(AD30&gt;=30%,AD30&lt;=39%),"3",IF(AND(AD30&gt;=40%,AD30&lt;=49%),"4",IF(AND(AD30&gt;=50%,AD30&lt;=59%),"5",IF(AND(AD30&gt;=60%,AD30&lt;=69%),"6",IF(AND(AD30&gt;=70%,AD30&lt;=79%),"7",IF(AND(AD30&gt;=80%,AD30&lt;=89%),"8",IF(AND(AD30&gt;=90%,AD30&lt;=99%),"9",IF(AND(AD30&gt;=100%,AD30&lt;=105%),"10",IF(AND(AD30&gt;=106%),"0","0")))))))))))</f>
        <v>6</v>
      </c>
      <c r="AL30" s="254"/>
      <c r="AM30" s="331"/>
      <c r="AN30" s="351"/>
      <c r="AO30" s="257">
        <f>AH30+AI30+AJ30+AK30+AL30+AN30</f>
        <v>32</v>
      </c>
      <c r="AP30" s="282">
        <v>40</v>
      </c>
      <c r="AQ30" s="327">
        <f>SUM(H30,L30,Q30,AO30)</f>
        <v>57</v>
      </c>
      <c r="AR30" s="329">
        <f t="shared" si="14"/>
        <v>65</v>
      </c>
      <c r="AS30" s="285"/>
      <c r="AT30" s="285"/>
      <c r="AU30" s="7"/>
      <c r="AV30" s="131"/>
      <c r="AW30" s="131"/>
      <c r="AX30" s="131"/>
      <c r="AY30" s="131"/>
    </row>
    <row r="31" spans="1:51" ht="26.25" customHeight="1" thickBot="1" x14ac:dyDescent="0.5">
      <c r="A31" s="133"/>
      <c r="B31" s="414"/>
      <c r="C31" s="190"/>
      <c r="D31" s="311"/>
      <c r="E31" s="212"/>
      <c r="F31" s="212"/>
      <c r="G31" s="212"/>
      <c r="H31" s="341"/>
      <c r="I31" s="197"/>
      <c r="J31" s="239"/>
      <c r="K31" s="239"/>
      <c r="L31" s="165"/>
      <c r="M31" s="197"/>
      <c r="N31" s="324"/>
      <c r="O31" s="325"/>
      <c r="P31" s="325"/>
      <c r="Q31" s="340"/>
      <c r="R31" s="197"/>
      <c r="S31" s="274"/>
      <c r="T31" s="274"/>
      <c r="U31" s="274"/>
      <c r="V31" s="274"/>
      <c r="W31" s="321"/>
      <c r="X31" s="295"/>
      <c r="Y31" s="295"/>
      <c r="Z31" s="349"/>
      <c r="AA31" s="270"/>
      <c r="AB31" s="270"/>
      <c r="AC31" s="270"/>
      <c r="AD31" s="356"/>
      <c r="AE31" s="334"/>
      <c r="AF31" s="266"/>
      <c r="AG31" s="337"/>
      <c r="AH31" s="252"/>
      <c r="AI31" s="252"/>
      <c r="AJ31" s="252"/>
      <c r="AK31" s="346"/>
      <c r="AL31" s="255"/>
      <c r="AM31" s="331"/>
      <c r="AN31" s="352"/>
      <c r="AO31" s="258"/>
      <c r="AP31" s="283"/>
      <c r="AQ31" s="328"/>
      <c r="AR31" s="329"/>
      <c r="AS31" s="286"/>
      <c r="AT31" s="286"/>
      <c r="AU31" s="7"/>
      <c r="AV31" s="131"/>
      <c r="AW31" s="131"/>
      <c r="AX31" s="131"/>
      <c r="AY31" s="131"/>
    </row>
    <row r="32" spans="1:51" ht="26.25" customHeight="1" thickBot="1" x14ac:dyDescent="0.5">
      <c r="A32" s="133"/>
      <c r="B32" s="414"/>
      <c r="C32" s="191"/>
      <c r="D32" s="312"/>
      <c r="E32" s="212"/>
      <c r="F32" s="212"/>
      <c r="G32" s="212"/>
      <c r="H32" s="341"/>
      <c r="I32" s="198"/>
      <c r="J32" s="240"/>
      <c r="K32" s="240"/>
      <c r="L32" s="166"/>
      <c r="M32" s="198"/>
      <c r="N32" s="324"/>
      <c r="O32" s="325"/>
      <c r="P32" s="325"/>
      <c r="Q32" s="340"/>
      <c r="R32" s="198"/>
      <c r="S32" s="272"/>
      <c r="T32" s="272"/>
      <c r="U32" s="272"/>
      <c r="V32" s="272"/>
      <c r="W32" s="322"/>
      <c r="X32" s="296"/>
      <c r="Y32" s="296"/>
      <c r="Z32" s="350"/>
      <c r="AA32" s="271"/>
      <c r="AB32" s="271"/>
      <c r="AC32" s="271"/>
      <c r="AD32" s="357"/>
      <c r="AE32" s="335"/>
      <c r="AF32" s="267"/>
      <c r="AG32" s="338"/>
      <c r="AH32" s="253"/>
      <c r="AI32" s="253"/>
      <c r="AJ32" s="253"/>
      <c r="AK32" s="347"/>
      <c r="AL32" s="256"/>
      <c r="AM32" s="331"/>
      <c r="AN32" s="353"/>
      <c r="AO32" s="259"/>
      <c r="AP32" s="354"/>
      <c r="AQ32" s="328"/>
      <c r="AR32" s="329"/>
      <c r="AS32" s="287"/>
      <c r="AT32" s="287"/>
      <c r="AU32" s="7"/>
      <c r="AV32" s="131"/>
      <c r="AW32" s="131"/>
      <c r="AX32" s="131"/>
      <c r="AY32" s="131"/>
    </row>
    <row r="33" spans="1:47" ht="26.25" customHeight="1" thickBot="1" x14ac:dyDescent="0.5">
      <c r="A33" s="133"/>
      <c r="B33" s="414"/>
      <c r="C33" s="189" t="s">
        <v>63</v>
      </c>
      <c r="D33" s="310" t="s">
        <v>64</v>
      </c>
      <c r="E33" s="212">
        <v>2</v>
      </c>
      <c r="F33" s="212">
        <v>2</v>
      </c>
      <c r="G33" s="212">
        <v>2</v>
      </c>
      <c r="H33" s="341">
        <f t="shared" ref="H33" si="18">E33+F33+G33</f>
        <v>6</v>
      </c>
      <c r="I33" s="196">
        <v>6</v>
      </c>
      <c r="J33" s="238">
        <v>2</v>
      </c>
      <c r="K33" s="238">
        <v>2</v>
      </c>
      <c r="L33" s="164">
        <f>SUM(J33:K35)</f>
        <v>4</v>
      </c>
      <c r="M33" s="188">
        <v>4</v>
      </c>
      <c r="N33" s="324">
        <v>5</v>
      </c>
      <c r="O33" s="325">
        <v>5</v>
      </c>
      <c r="P33" s="325">
        <v>5</v>
      </c>
      <c r="Q33" s="340">
        <f>SUM(N33:P35)</f>
        <v>15</v>
      </c>
      <c r="R33" s="188">
        <v>15</v>
      </c>
      <c r="S33" s="307">
        <v>5</v>
      </c>
      <c r="T33" s="307">
        <v>5</v>
      </c>
      <c r="U33" s="307">
        <v>3</v>
      </c>
      <c r="V33" s="306"/>
      <c r="W33" s="339">
        <v>5</v>
      </c>
      <c r="X33" s="306"/>
      <c r="Y33" s="306"/>
      <c r="Z33" s="306"/>
      <c r="AA33" s="269">
        <f>S33/W33</f>
        <v>1</v>
      </c>
      <c r="AB33" s="269">
        <f>T33/W33</f>
        <v>1</v>
      </c>
      <c r="AC33" s="269">
        <f>U33/W33</f>
        <v>0.6</v>
      </c>
      <c r="AD33" s="332"/>
      <c r="AE33" s="344"/>
      <c r="AF33" s="344"/>
      <c r="AG33" s="265"/>
      <c r="AH33" s="330" t="str">
        <f t="shared" ref="AH33:AJ33" si="19">IF(AND(AA33&gt;=10%,AA33&lt;=19%),"1",IF(AND(AA33&gt;=20%,AA33&lt;=29%),"2",IF(AND(AA33&gt;=30%,AA33&lt;=39%),"3",IF(AND(AA33&gt;=40%,AA33&lt;=49%),"4",IF(AND(AA33&gt;=50%,AA33&lt;=59%),"5",IF(AND(AA33&gt;=60%,AA33&lt;=69%),"6",IF(AND(AA33&gt;=70%,AA33&lt;=79%),"7",IF(AND(AA33&gt;=80%,AA33&lt;=89%),"8",IF(AND(AA33&gt;=90%,AA33&lt;=99%),"9",IF(AND(AA33&gt;=100%,AA33&lt;=105%),"10",IF(AND(AA33&gt;=106%),"0","0")))))))))))</f>
        <v>10</v>
      </c>
      <c r="AI33" s="330" t="str">
        <f t="shared" si="19"/>
        <v>10</v>
      </c>
      <c r="AJ33" s="330" t="str">
        <f t="shared" si="19"/>
        <v>6</v>
      </c>
      <c r="AK33" s="331"/>
      <c r="AL33" s="331"/>
      <c r="AM33" s="254"/>
      <c r="AN33" s="254"/>
      <c r="AO33" s="257">
        <f>AH33+AI33+AJ33+AL33+AM33</f>
        <v>26</v>
      </c>
      <c r="AP33" s="260">
        <v>30</v>
      </c>
      <c r="AQ33" s="327">
        <f>SUM(H33,L33,Q33,AO33)</f>
        <v>51</v>
      </c>
      <c r="AR33" s="329">
        <f t="shared" si="14"/>
        <v>55</v>
      </c>
      <c r="AS33" s="285"/>
      <c r="AT33" s="285"/>
      <c r="AU33" s="7"/>
    </row>
    <row r="34" spans="1:47" ht="26.25" customHeight="1" thickBot="1" x14ac:dyDescent="0.5">
      <c r="A34" s="133"/>
      <c r="B34" s="414"/>
      <c r="C34" s="190"/>
      <c r="D34" s="311"/>
      <c r="E34" s="212"/>
      <c r="F34" s="212"/>
      <c r="G34" s="212"/>
      <c r="H34" s="341"/>
      <c r="I34" s="197"/>
      <c r="J34" s="239"/>
      <c r="K34" s="239"/>
      <c r="L34" s="165"/>
      <c r="M34" s="188"/>
      <c r="N34" s="324"/>
      <c r="O34" s="325"/>
      <c r="P34" s="325"/>
      <c r="Q34" s="340"/>
      <c r="R34" s="188"/>
      <c r="S34" s="308"/>
      <c r="T34" s="308"/>
      <c r="U34" s="308"/>
      <c r="V34" s="306"/>
      <c r="W34" s="339"/>
      <c r="X34" s="306"/>
      <c r="Y34" s="306"/>
      <c r="Z34" s="306"/>
      <c r="AA34" s="270"/>
      <c r="AB34" s="270"/>
      <c r="AC34" s="270"/>
      <c r="AD34" s="332"/>
      <c r="AE34" s="344"/>
      <c r="AF34" s="344"/>
      <c r="AG34" s="266"/>
      <c r="AH34" s="330"/>
      <c r="AI34" s="330"/>
      <c r="AJ34" s="330"/>
      <c r="AK34" s="331"/>
      <c r="AL34" s="331"/>
      <c r="AM34" s="255"/>
      <c r="AN34" s="255"/>
      <c r="AO34" s="258"/>
      <c r="AP34" s="260"/>
      <c r="AQ34" s="328"/>
      <c r="AR34" s="329"/>
      <c r="AS34" s="286"/>
      <c r="AT34" s="286"/>
      <c r="AU34" s="7"/>
    </row>
    <row r="35" spans="1:47" ht="26.25" customHeight="1" thickBot="1" x14ac:dyDescent="0.5">
      <c r="A35" s="133"/>
      <c r="B35" s="414"/>
      <c r="C35" s="191"/>
      <c r="D35" s="312"/>
      <c r="E35" s="212"/>
      <c r="F35" s="212"/>
      <c r="G35" s="212"/>
      <c r="H35" s="341"/>
      <c r="I35" s="198"/>
      <c r="J35" s="240"/>
      <c r="K35" s="240"/>
      <c r="L35" s="166"/>
      <c r="M35" s="188"/>
      <c r="N35" s="324"/>
      <c r="O35" s="325"/>
      <c r="P35" s="325"/>
      <c r="Q35" s="340"/>
      <c r="R35" s="188"/>
      <c r="S35" s="309"/>
      <c r="T35" s="309"/>
      <c r="U35" s="309"/>
      <c r="V35" s="306"/>
      <c r="W35" s="339"/>
      <c r="X35" s="306"/>
      <c r="Y35" s="306"/>
      <c r="Z35" s="306"/>
      <c r="AA35" s="271"/>
      <c r="AB35" s="271"/>
      <c r="AC35" s="271"/>
      <c r="AD35" s="332"/>
      <c r="AE35" s="344"/>
      <c r="AF35" s="344"/>
      <c r="AG35" s="267"/>
      <c r="AH35" s="330"/>
      <c r="AI35" s="330"/>
      <c r="AJ35" s="330"/>
      <c r="AK35" s="331"/>
      <c r="AL35" s="331"/>
      <c r="AM35" s="256"/>
      <c r="AN35" s="256"/>
      <c r="AO35" s="259"/>
      <c r="AP35" s="260"/>
      <c r="AQ35" s="328"/>
      <c r="AR35" s="329"/>
      <c r="AS35" s="287"/>
      <c r="AT35" s="287"/>
      <c r="AU35" s="7"/>
    </row>
    <row r="36" spans="1:47" ht="26.25" customHeight="1" thickBot="1" x14ac:dyDescent="0.5">
      <c r="A36" s="133"/>
      <c r="B36" s="414"/>
      <c r="C36" s="189" t="s">
        <v>65</v>
      </c>
      <c r="D36" s="310" t="s">
        <v>66</v>
      </c>
      <c r="E36" s="212">
        <v>2</v>
      </c>
      <c r="F36" s="212">
        <v>2</v>
      </c>
      <c r="G36" s="212">
        <v>2</v>
      </c>
      <c r="H36" s="341">
        <f t="shared" ref="H36:H42" si="20">E36+F36+G36</f>
        <v>6</v>
      </c>
      <c r="I36" s="196">
        <v>6</v>
      </c>
      <c r="J36" s="238">
        <v>2</v>
      </c>
      <c r="K36" s="238">
        <v>2</v>
      </c>
      <c r="L36" s="164">
        <f>SUM(J36:K38)</f>
        <v>4</v>
      </c>
      <c r="M36" s="188">
        <v>4</v>
      </c>
      <c r="N36" s="324">
        <v>5</v>
      </c>
      <c r="O36" s="325">
        <v>5</v>
      </c>
      <c r="P36" s="325">
        <v>5</v>
      </c>
      <c r="Q36" s="340">
        <f>SUM(N36:P38)</f>
        <v>15</v>
      </c>
      <c r="R36" s="188">
        <v>15</v>
      </c>
      <c r="S36" s="273">
        <v>17</v>
      </c>
      <c r="T36" s="273">
        <v>17</v>
      </c>
      <c r="U36" s="273">
        <v>6</v>
      </c>
      <c r="V36" s="306"/>
      <c r="W36" s="339">
        <v>9</v>
      </c>
      <c r="X36" s="306"/>
      <c r="Y36" s="268"/>
      <c r="Z36" s="273">
        <v>17</v>
      </c>
      <c r="AA36" s="269">
        <f>S36/W36</f>
        <v>1.8888888888888888</v>
      </c>
      <c r="AB36" s="269">
        <f>T36/W36</f>
        <v>1.8888888888888888</v>
      </c>
      <c r="AC36" s="269">
        <f>U36/W36</f>
        <v>0.66666666666666663</v>
      </c>
      <c r="AD36" s="332"/>
      <c r="AE36" s="344"/>
      <c r="AF36" s="315"/>
      <c r="AG36" s="336">
        <f>Z36/W36</f>
        <v>1.8888888888888888</v>
      </c>
      <c r="AH36" s="330" t="str">
        <f t="shared" ref="AH36:AJ36" si="21">IF(AND(AA36&gt;=10%,AA36&lt;=19%),"1",IF(AND(AA36&gt;=20%,AA36&lt;=29%),"2",IF(AND(AA36&gt;=30%,AA36&lt;=39%),"3",IF(AND(AA36&gt;=40%,AA36&lt;=49%),"4",IF(AND(AA36&gt;=50%,AA36&lt;=59%),"5",IF(AND(AA36&gt;=60%,AA36&lt;=69%),"6",IF(AND(AA36&gt;=70%,AA36&lt;=79%),"7",IF(AND(AA36&gt;=80%,AA36&lt;=89%),"8",IF(AND(AA36&gt;=90%,AA36&lt;=99%),"9",IF(AND(AA36&gt;=100%,AA36&lt;=105%),"10",IF(AND(AA36&gt;=106%),"0","0")))))))))))</f>
        <v>0</v>
      </c>
      <c r="AI36" s="330" t="str">
        <f t="shared" si="21"/>
        <v>0</v>
      </c>
      <c r="AJ36" s="330" t="str">
        <f t="shared" si="21"/>
        <v>6</v>
      </c>
      <c r="AK36" s="331"/>
      <c r="AL36" s="331"/>
      <c r="AM36" s="254"/>
      <c r="AN36" s="326" t="str">
        <f>IF(AND(AG36&gt;=10%,AG36&lt;=19%),"1",IF(AND(AG36&gt;=20%,AG36&lt;=29%),"2",IF(AND(AG36&gt;=30%,AG36&lt;=39%),"3",IF(AND(AG36&gt;=40%,AG36&lt;=49%),"4",IF(AND(AG36&gt;=50%,AG36&lt;=59%),"5",IF(AND(AG36&gt;=60%,AG36&lt;=69%),"6",IF(AND(AG36&gt;=70%,AG36&lt;=79%),"7",IF(AND(AG36&gt;=80%,AG36&lt;=89%),"8",IF(AND(AG36&gt;=90%,AG36&lt;=99%),"9",IF(AND(AG36&gt;=100%,AG36&lt;=105%),"10",IF(AND(AG36&gt;=106%),"0","0")))))))))))</f>
        <v>0</v>
      </c>
      <c r="AO36" s="257">
        <f>AH36+AI36+AJ36+AL36+AN36</f>
        <v>6</v>
      </c>
      <c r="AP36" s="260">
        <v>40</v>
      </c>
      <c r="AQ36" s="327">
        <f>SUM(H36,L36,Q36,AO36)</f>
        <v>31</v>
      </c>
      <c r="AR36" s="329">
        <f t="shared" ref="AR36:AR39" si="22">SUM(AP36,R36,M36,I36)</f>
        <v>65</v>
      </c>
      <c r="AS36" s="285"/>
      <c r="AT36" s="285"/>
      <c r="AU36" s="7"/>
    </row>
    <row r="37" spans="1:47" ht="26.25" customHeight="1" thickBot="1" x14ac:dyDescent="0.5">
      <c r="A37" s="133"/>
      <c r="B37" s="414"/>
      <c r="C37" s="190"/>
      <c r="D37" s="311"/>
      <c r="E37" s="212"/>
      <c r="F37" s="212"/>
      <c r="G37" s="212"/>
      <c r="H37" s="341"/>
      <c r="I37" s="197"/>
      <c r="J37" s="239"/>
      <c r="K37" s="239"/>
      <c r="L37" s="165"/>
      <c r="M37" s="188"/>
      <c r="N37" s="324"/>
      <c r="O37" s="325"/>
      <c r="P37" s="325"/>
      <c r="Q37" s="340"/>
      <c r="R37" s="188"/>
      <c r="S37" s="273"/>
      <c r="T37" s="273"/>
      <c r="U37" s="273"/>
      <c r="V37" s="306"/>
      <c r="W37" s="339"/>
      <c r="X37" s="306"/>
      <c r="Y37" s="268"/>
      <c r="Z37" s="273"/>
      <c r="AA37" s="270"/>
      <c r="AB37" s="270"/>
      <c r="AC37" s="270"/>
      <c r="AD37" s="332"/>
      <c r="AE37" s="344"/>
      <c r="AF37" s="315"/>
      <c r="AG37" s="337"/>
      <c r="AH37" s="330"/>
      <c r="AI37" s="330"/>
      <c r="AJ37" s="330"/>
      <c r="AK37" s="331"/>
      <c r="AL37" s="331"/>
      <c r="AM37" s="255"/>
      <c r="AN37" s="326"/>
      <c r="AO37" s="258"/>
      <c r="AP37" s="260"/>
      <c r="AQ37" s="328"/>
      <c r="AR37" s="329"/>
      <c r="AS37" s="286"/>
      <c r="AT37" s="286"/>
      <c r="AU37" s="7"/>
    </row>
    <row r="38" spans="1:47" ht="26.25" customHeight="1" thickBot="1" x14ac:dyDescent="0.5">
      <c r="A38" s="133"/>
      <c r="B38" s="414"/>
      <c r="C38" s="191"/>
      <c r="D38" s="312"/>
      <c r="E38" s="212"/>
      <c r="F38" s="212"/>
      <c r="G38" s="212"/>
      <c r="H38" s="341"/>
      <c r="I38" s="198"/>
      <c r="J38" s="240"/>
      <c r="K38" s="240"/>
      <c r="L38" s="166"/>
      <c r="M38" s="188"/>
      <c r="N38" s="324"/>
      <c r="O38" s="325"/>
      <c r="P38" s="325"/>
      <c r="Q38" s="340"/>
      <c r="R38" s="188"/>
      <c r="S38" s="273"/>
      <c r="T38" s="273"/>
      <c r="U38" s="273"/>
      <c r="V38" s="306"/>
      <c r="W38" s="339"/>
      <c r="X38" s="306"/>
      <c r="Y38" s="268"/>
      <c r="Z38" s="273"/>
      <c r="AA38" s="271"/>
      <c r="AB38" s="271"/>
      <c r="AC38" s="271"/>
      <c r="AD38" s="332"/>
      <c r="AE38" s="344"/>
      <c r="AF38" s="315"/>
      <c r="AG38" s="338"/>
      <c r="AH38" s="330"/>
      <c r="AI38" s="330"/>
      <c r="AJ38" s="330"/>
      <c r="AK38" s="331"/>
      <c r="AL38" s="331"/>
      <c r="AM38" s="256"/>
      <c r="AN38" s="326"/>
      <c r="AO38" s="259"/>
      <c r="AP38" s="260"/>
      <c r="AQ38" s="328"/>
      <c r="AR38" s="329"/>
      <c r="AS38" s="287"/>
      <c r="AT38" s="287"/>
      <c r="AU38" s="7"/>
    </row>
    <row r="39" spans="1:47" ht="26.25" customHeight="1" thickBot="1" x14ac:dyDescent="0.5">
      <c r="A39" s="133"/>
      <c r="B39" s="414"/>
      <c r="C39" s="189" t="s">
        <v>67</v>
      </c>
      <c r="D39" s="310" t="s">
        <v>68</v>
      </c>
      <c r="E39" s="212">
        <v>2</v>
      </c>
      <c r="F39" s="212">
        <v>2</v>
      </c>
      <c r="G39" s="212">
        <v>2</v>
      </c>
      <c r="H39" s="341">
        <f t="shared" si="20"/>
        <v>6</v>
      </c>
      <c r="I39" s="196">
        <v>6</v>
      </c>
      <c r="J39" s="238">
        <v>2</v>
      </c>
      <c r="K39" s="238">
        <v>2</v>
      </c>
      <c r="L39" s="164">
        <f>SUM(J39:K41)</f>
        <v>4</v>
      </c>
      <c r="M39" s="188">
        <v>4</v>
      </c>
      <c r="N39" s="324">
        <v>5</v>
      </c>
      <c r="O39" s="325">
        <v>5</v>
      </c>
      <c r="P39" s="325">
        <v>5</v>
      </c>
      <c r="Q39" s="340">
        <f>SUM(N39:P41)</f>
        <v>15</v>
      </c>
      <c r="R39" s="188">
        <v>15</v>
      </c>
      <c r="S39" s="273">
        <v>15</v>
      </c>
      <c r="T39" s="325">
        <v>15</v>
      </c>
      <c r="U39" s="325">
        <v>9</v>
      </c>
      <c r="V39" s="306"/>
      <c r="W39" s="342">
        <v>15</v>
      </c>
      <c r="X39" s="343"/>
      <c r="Y39" s="268"/>
      <c r="Z39" s="297">
        <v>17</v>
      </c>
      <c r="AA39" s="269">
        <f>S39/W39</f>
        <v>1</v>
      </c>
      <c r="AB39" s="269">
        <f>T39/W39</f>
        <v>1</v>
      </c>
      <c r="AC39" s="269">
        <f>U39/W39</f>
        <v>0.6</v>
      </c>
      <c r="AD39" s="332"/>
      <c r="AE39" s="333"/>
      <c r="AF39" s="315"/>
      <c r="AG39" s="336">
        <f>Z39/W39</f>
        <v>1.1333333333333333</v>
      </c>
      <c r="AH39" s="251" t="str">
        <f t="shared" ref="AH39:AJ39" si="23">IF(AND(AA39&gt;=10%,AA39&lt;=19%),"1",IF(AND(AA39&gt;=20%,AA39&lt;=29%),"2",IF(AND(AA39&gt;=30%,AA39&lt;=39%),"3",IF(AND(AA39&gt;=40%,AA39&lt;=49%),"4",IF(AND(AA39&gt;=50%,AA39&lt;=59%),"5",IF(AND(AA39&gt;=60%,AA39&lt;=69%),"6",IF(AND(AA39&gt;=70%,AA39&lt;=79%),"7",IF(AND(AA39&gt;=80%,AA39&lt;=89%),"8",IF(AND(AA39&gt;=90%,AA39&lt;=99%),"9",IF(AND(AA39&gt;=100%,AA39&lt;=105%),"10",IF(AND(AA39&gt;=106%),"0","0")))))))))))</f>
        <v>10</v>
      </c>
      <c r="AI39" s="330" t="str">
        <f t="shared" si="23"/>
        <v>10</v>
      </c>
      <c r="AJ39" s="330" t="str">
        <f t="shared" si="23"/>
        <v>6</v>
      </c>
      <c r="AK39" s="331"/>
      <c r="AL39" s="331"/>
      <c r="AM39" s="331"/>
      <c r="AN39" s="326" t="str">
        <f>IF(AND(AG39&gt;=10%,AG39&lt;=19%),"1",IF(AND(AG39&gt;=20%,AG39&lt;=29%),"2",IF(AND(AG39&gt;=30%,AG39&lt;=39%),"3",IF(AND(AG39&gt;=40%,AG39&lt;=49%),"4",IF(AND(AG39&gt;=50%,AG39&lt;=59%),"5",IF(AND(AG39&gt;=60%,AG39&lt;=69%),"6",IF(AND(AG39&gt;=70%,AG39&lt;=79%),"7",IF(AND(AG39&gt;=80%,AG39&lt;=89%),"8",IF(AND(AG39&gt;=90%,AG39&lt;=99%),"9",IF(AND(AG39&gt;=100%,AG39&lt;=105%),"10",IF(AND(AG39&gt;=106%),"0","0")))))))))))</f>
        <v>0</v>
      </c>
      <c r="AO39" s="257">
        <f>AH39+AI39+AJ39+AL39+AN39</f>
        <v>26</v>
      </c>
      <c r="AP39" s="260">
        <v>40</v>
      </c>
      <c r="AQ39" s="327">
        <f>SUM(H39,L39,Q39,AO39)</f>
        <v>51</v>
      </c>
      <c r="AR39" s="329">
        <f t="shared" si="22"/>
        <v>65</v>
      </c>
      <c r="AS39" s="285"/>
      <c r="AT39" s="285"/>
      <c r="AU39" s="7"/>
    </row>
    <row r="40" spans="1:47" ht="25.9" customHeight="1" thickBot="1" x14ac:dyDescent="0.5">
      <c r="A40" s="133"/>
      <c r="B40" s="414"/>
      <c r="C40" s="190"/>
      <c r="D40" s="311"/>
      <c r="E40" s="212"/>
      <c r="F40" s="212"/>
      <c r="G40" s="212"/>
      <c r="H40" s="341"/>
      <c r="I40" s="197"/>
      <c r="J40" s="239"/>
      <c r="K40" s="239"/>
      <c r="L40" s="165"/>
      <c r="M40" s="188"/>
      <c r="N40" s="324"/>
      <c r="O40" s="325"/>
      <c r="P40" s="325"/>
      <c r="Q40" s="340"/>
      <c r="R40" s="188"/>
      <c r="S40" s="273"/>
      <c r="T40" s="325"/>
      <c r="U40" s="325"/>
      <c r="V40" s="306"/>
      <c r="W40" s="342"/>
      <c r="X40" s="343"/>
      <c r="Y40" s="268"/>
      <c r="Z40" s="297"/>
      <c r="AA40" s="270"/>
      <c r="AB40" s="270"/>
      <c r="AC40" s="270"/>
      <c r="AD40" s="332"/>
      <c r="AE40" s="334"/>
      <c r="AF40" s="315"/>
      <c r="AG40" s="337"/>
      <c r="AH40" s="252"/>
      <c r="AI40" s="330"/>
      <c r="AJ40" s="330"/>
      <c r="AK40" s="331"/>
      <c r="AL40" s="331"/>
      <c r="AM40" s="331"/>
      <c r="AN40" s="326"/>
      <c r="AO40" s="258"/>
      <c r="AP40" s="260"/>
      <c r="AQ40" s="328"/>
      <c r="AR40" s="329"/>
      <c r="AS40" s="286"/>
      <c r="AT40" s="286"/>
      <c r="AU40" s="7"/>
    </row>
    <row r="41" spans="1:47" ht="41.25" customHeight="1" thickBot="1" x14ac:dyDescent="0.5">
      <c r="A41" s="133"/>
      <c r="B41" s="414"/>
      <c r="C41" s="191"/>
      <c r="D41" s="312"/>
      <c r="E41" s="212"/>
      <c r="F41" s="212"/>
      <c r="G41" s="212"/>
      <c r="H41" s="341"/>
      <c r="I41" s="198"/>
      <c r="J41" s="240"/>
      <c r="K41" s="240"/>
      <c r="L41" s="166"/>
      <c r="M41" s="188"/>
      <c r="N41" s="324"/>
      <c r="O41" s="325"/>
      <c r="P41" s="325"/>
      <c r="Q41" s="340"/>
      <c r="R41" s="188"/>
      <c r="S41" s="273"/>
      <c r="T41" s="325"/>
      <c r="U41" s="325"/>
      <c r="V41" s="306"/>
      <c r="W41" s="342"/>
      <c r="X41" s="343"/>
      <c r="Y41" s="268"/>
      <c r="Z41" s="297"/>
      <c r="AA41" s="271"/>
      <c r="AB41" s="271"/>
      <c r="AC41" s="271"/>
      <c r="AD41" s="332"/>
      <c r="AE41" s="335"/>
      <c r="AF41" s="315"/>
      <c r="AG41" s="338"/>
      <c r="AH41" s="253"/>
      <c r="AI41" s="330"/>
      <c r="AJ41" s="330"/>
      <c r="AK41" s="331"/>
      <c r="AL41" s="331"/>
      <c r="AM41" s="331"/>
      <c r="AN41" s="326"/>
      <c r="AO41" s="259"/>
      <c r="AP41" s="260"/>
      <c r="AQ41" s="328"/>
      <c r="AR41" s="329"/>
      <c r="AS41" s="287"/>
      <c r="AT41" s="287"/>
      <c r="AU41" s="7"/>
    </row>
    <row r="42" spans="1:47" ht="26.25" customHeight="1" thickBot="1" x14ac:dyDescent="0.5">
      <c r="A42" s="133"/>
      <c r="B42" s="414"/>
      <c r="C42" s="189" t="s">
        <v>69</v>
      </c>
      <c r="D42" s="310" t="s">
        <v>70</v>
      </c>
      <c r="E42" s="212">
        <v>2</v>
      </c>
      <c r="F42" s="212">
        <v>2</v>
      </c>
      <c r="G42" s="212">
        <v>2</v>
      </c>
      <c r="H42" s="341">
        <f t="shared" si="20"/>
        <v>6</v>
      </c>
      <c r="I42" s="196">
        <v>6</v>
      </c>
      <c r="J42" s="238">
        <v>2</v>
      </c>
      <c r="K42" s="238">
        <v>2</v>
      </c>
      <c r="L42" s="164">
        <f>SUM(J42:K44)</f>
        <v>4</v>
      </c>
      <c r="M42" s="188">
        <v>4</v>
      </c>
      <c r="N42" s="297">
        <v>5</v>
      </c>
      <c r="O42" s="273">
        <v>5</v>
      </c>
      <c r="P42" s="273">
        <v>5</v>
      </c>
      <c r="Q42" s="237">
        <f>SUM(N42:P44)</f>
        <v>15</v>
      </c>
      <c r="R42" s="188">
        <v>15</v>
      </c>
      <c r="S42" s="273">
        <v>1</v>
      </c>
      <c r="T42" s="325">
        <v>1</v>
      </c>
      <c r="U42" s="325">
        <v>1</v>
      </c>
      <c r="V42" s="306"/>
      <c r="W42" s="339">
        <v>1</v>
      </c>
      <c r="X42" s="294"/>
      <c r="Y42" s="268"/>
      <c r="Z42" s="273">
        <v>0</v>
      </c>
      <c r="AA42" s="269">
        <f>S42/W42</f>
        <v>1</v>
      </c>
      <c r="AB42" s="269">
        <f>T42/W42</f>
        <v>1</v>
      </c>
      <c r="AC42" s="269">
        <f>U42/W42</f>
        <v>1</v>
      </c>
      <c r="AD42" s="332"/>
      <c r="AE42" s="333"/>
      <c r="AF42" s="315"/>
      <c r="AG42" s="336">
        <f>Z42/W42</f>
        <v>0</v>
      </c>
      <c r="AH42" s="251" t="str">
        <f t="shared" ref="AH42:AJ42" si="24">IF(AND(AA42&gt;=10%,AA42&lt;=19%),"1",IF(AND(AA42&gt;=20%,AA42&lt;=29%),"2",IF(AND(AA42&gt;=30%,AA42&lt;=39%),"3",IF(AND(AA42&gt;=40%,AA42&lt;=49%),"4",IF(AND(AA42&gt;=50%,AA42&lt;=59%),"5",IF(AND(AA42&gt;=60%,AA42&lt;=69%),"6",IF(AND(AA42&gt;=70%,AA42&lt;=79%),"7",IF(AND(AA42&gt;=80%,AA42&lt;=89%),"8",IF(AND(AA42&gt;=90%,AA42&lt;=99%),"9",IF(AND(AA42&gt;=100%,AA42&lt;=105%),"10",IF(AND(AA42&gt;=106%),"0","0")))))))))))</f>
        <v>10</v>
      </c>
      <c r="AI42" s="330" t="str">
        <f t="shared" si="24"/>
        <v>10</v>
      </c>
      <c r="AJ42" s="330" t="str">
        <f t="shared" si="24"/>
        <v>10</v>
      </c>
      <c r="AK42" s="331"/>
      <c r="AL42" s="331"/>
      <c r="AM42" s="331"/>
      <c r="AN42" s="326" t="str">
        <f>IF(AND(AG42&gt;=10%,AG42&lt;=19%),"1",IF(AND(AG42&gt;=20%,AG42&lt;=29%),"2",IF(AND(AG42&gt;=30%,AG42&lt;=39%),"3",IF(AND(AG42&gt;=40%,AG42&lt;=49%),"4",IF(AND(AG42&gt;=50%,AG42&lt;=59%),"5",IF(AND(AG42&gt;=60%,AG42&lt;=69%),"6",IF(AND(AG42&gt;=70%,AG42&lt;=79%),"7",IF(AND(AG42&gt;=80%,AG42&lt;=89%),"8",IF(AND(AG42&gt;=90%,AG42&lt;=99%),"9",IF(AND(AG42&gt;=100%,AG42&lt;=105%),"10",IF(AND(AG42&gt;=106%),"0","0")))))))))))</f>
        <v>0</v>
      </c>
      <c r="AO42" s="257">
        <f>AH42+AI42+AJ42+AL42+AN42</f>
        <v>30</v>
      </c>
      <c r="AP42" s="260">
        <v>40</v>
      </c>
      <c r="AQ42" s="327">
        <f>SUM(H42,L42,Q42,AO42)</f>
        <v>55</v>
      </c>
      <c r="AR42" s="329">
        <f t="shared" ref="AR42" si="25">SUM(AP42,R42,M42,I42)</f>
        <v>65</v>
      </c>
      <c r="AS42" s="285"/>
      <c r="AT42" s="285"/>
      <c r="AU42" s="7"/>
    </row>
    <row r="43" spans="1:47" ht="26.25" customHeight="1" thickBot="1" x14ac:dyDescent="0.5">
      <c r="A43" s="133"/>
      <c r="B43" s="414"/>
      <c r="C43" s="190"/>
      <c r="D43" s="311"/>
      <c r="E43" s="212"/>
      <c r="F43" s="212"/>
      <c r="G43" s="212"/>
      <c r="H43" s="341"/>
      <c r="I43" s="197"/>
      <c r="J43" s="239"/>
      <c r="K43" s="239"/>
      <c r="L43" s="165"/>
      <c r="M43" s="188"/>
      <c r="N43" s="297"/>
      <c r="O43" s="273"/>
      <c r="P43" s="273"/>
      <c r="Q43" s="237"/>
      <c r="R43" s="188"/>
      <c r="S43" s="273"/>
      <c r="T43" s="325"/>
      <c r="U43" s="325"/>
      <c r="V43" s="306"/>
      <c r="W43" s="339"/>
      <c r="X43" s="295"/>
      <c r="Y43" s="268"/>
      <c r="Z43" s="273"/>
      <c r="AA43" s="270"/>
      <c r="AB43" s="270"/>
      <c r="AC43" s="270"/>
      <c r="AD43" s="332"/>
      <c r="AE43" s="334"/>
      <c r="AF43" s="315"/>
      <c r="AG43" s="337"/>
      <c r="AH43" s="252"/>
      <c r="AI43" s="330"/>
      <c r="AJ43" s="330"/>
      <c r="AK43" s="331"/>
      <c r="AL43" s="331"/>
      <c r="AM43" s="331"/>
      <c r="AN43" s="326"/>
      <c r="AO43" s="258"/>
      <c r="AP43" s="260"/>
      <c r="AQ43" s="328"/>
      <c r="AR43" s="329"/>
      <c r="AS43" s="286"/>
      <c r="AT43" s="286"/>
      <c r="AU43" s="7"/>
    </row>
    <row r="44" spans="1:47" ht="26.25" customHeight="1" thickBot="1" x14ac:dyDescent="0.5">
      <c r="A44" s="133"/>
      <c r="B44" s="414"/>
      <c r="C44" s="191"/>
      <c r="D44" s="312"/>
      <c r="E44" s="212"/>
      <c r="F44" s="212"/>
      <c r="G44" s="212"/>
      <c r="H44" s="341"/>
      <c r="I44" s="198"/>
      <c r="J44" s="240"/>
      <c r="K44" s="240"/>
      <c r="L44" s="166"/>
      <c r="M44" s="188"/>
      <c r="N44" s="297"/>
      <c r="O44" s="273"/>
      <c r="P44" s="273"/>
      <c r="Q44" s="237"/>
      <c r="R44" s="188"/>
      <c r="S44" s="273"/>
      <c r="T44" s="325"/>
      <c r="U44" s="325"/>
      <c r="V44" s="306"/>
      <c r="W44" s="339"/>
      <c r="X44" s="296"/>
      <c r="Y44" s="268"/>
      <c r="Z44" s="273"/>
      <c r="AA44" s="271"/>
      <c r="AB44" s="271"/>
      <c r="AC44" s="271"/>
      <c r="AD44" s="332"/>
      <c r="AE44" s="335"/>
      <c r="AF44" s="315"/>
      <c r="AG44" s="338"/>
      <c r="AH44" s="253"/>
      <c r="AI44" s="330"/>
      <c r="AJ44" s="330"/>
      <c r="AK44" s="331"/>
      <c r="AL44" s="331"/>
      <c r="AM44" s="331"/>
      <c r="AN44" s="326"/>
      <c r="AO44" s="259"/>
      <c r="AP44" s="260"/>
      <c r="AQ44" s="328"/>
      <c r="AR44" s="329"/>
      <c r="AS44" s="287"/>
      <c r="AT44" s="287"/>
      <c r="AU44" s="7"/>
    </row>
    <row r="45" spans="1:47" ht="60.75" customHeight="1" thickBot="1" x14ac:dyDescent="0.5">
      <c r="A45" s="133"/>
      <c r="B45" s="414"/>
      <c r="C45" s="21" t="s">
        <v>71</v>
      </c>
      <c r="D45" s="16" t="s">
        <v>72</v>
      </c>
      <c r="E45" s="21">
        <v>2</v>
      </c>
      <c r="F45" s="21">
        <v>2</v>
      </c>
      <c r="G45" s="21">
        <v>2</v>
      </c>
      <c r="H45" s="9">
        <f>SUM(E45:G45)</f>
        <v>6</v>
      </c>
      <c r="I45" s="22">
        <v>6</v>
      </c>
      <c r="J45" s="21">
        <v>2</v>
      </c>
      <c r="K45" s="21">
        <v>2</v>
      </c>
      <c r="L45" s="13">
        <f>SUM(J45:K45)</f>
        <v>4</v>
      </c>
      <c r="M45" s="10">
        <v>4</v>
      </c>
      <c r="N45" s="17">
        <v>5</v>
      </c>
      <c r="O45" s="17">
        <v>5</v>
      </c>
      <c r="P45" s="17">
        <v>5</v>
      </c>
      <c r="Q45" s="13">
        <f>SUM(N45:P45)</f>
        <v>15</v>
      </c>
      <c r="R45" s="10">
        <v>15</v>
      </c>
      <c r="S45" s="17">
        <v>1</v>
      </c>
      <c r="T45" s="17">
        <v>1</v>
      </c>
      <c r="U45" s="17">
        <v>1</v>
      </c>
      <c r="V45" s="14">
        <v>1</v>
      </c>
      <c r="W45" s="23">
        <v>1</v>
      </c>
      <c r="X45" s="151"/>
      <c r="Y45" s="29">
        <v>0</v>
      </c>
      <c r="Z45" s="30"/>
      <c r="AA45" s="138">
        <f>S45/W45</f>
        <v>1</v>
      </c>
      <c r="AB45" s="138">
        <f>T45/W45</f>
        <v>1</v>
      </c>
      <c r="AC45" s="138">
        <f>U45/W45</f>
        <v>1</v>
      </c>
      <c r="AD45" s="135">
        <f>V45/W45</f>
        <v>1</v>
      </c>
      <c r="AE45" s="155"/>
      <c r="AF45" s="26">
        <f>Y45/W45</f>
        <v>0</v>
      </c>
      <c r="AG45" s="27"/>
      <c r="AH45" s="28" t="str">
        <f t="shared" ref="AH45:AM46" si="26">IF(AND(AA45&gt;=10%,AA45&lt;=19%),"1",IF(AND(AA45&gt;=20%,AA45&lt;=29%),"2",IF(AND(AA45&gt;=30%,AA45&lt;=39%),"3",IF(AND(AA45&gt;=40%,AA45&lt;=49%),"4",IF(AND(AA45&gt;=50%,AA45&lt;=59%),"5",IF(AND(AA45&gt;=60%,AA45&lt;=69%),"6",IF(AND(AA45&gt;=70%,AA45&lt;=79%),"7",IF(AND(AA45&gt;=80%,AA45&lt;=89%),"8",IF(AND(AA45&gt;=90%,AA45&lt;=99%),"9",IF(AND(AA45&gt;=100%,AA45&lt;=105%),"10",IF(AND(AA45&gt;=106%),"0","0")))))))))))</f>
        <v>10</v>
      </c>
      <c r="AI45" s="28" t="str">
        <f t="shared" si="26"/>
        <v>10</v>
      </c>
      <c r="AJ45" s="28" t="str">
        <f t="shared" si="26"/>
        <v>10</v>
      </c>
      <c r="AK45" s="28" t="str">
        <f t="shared" si="26"/>
        <v>10</v>
      </c>
      <c r="AL45" s="153"/>
      <c r="AM45" s="28" t="str">
        <f t="shared" si="26"/>
        <v>0</v>
      </c>
      <c r="AN45" s="31"/>
      <c r="AO45" s="15">
        <f>AH45+AI45+AJ45+AK45+AL45+AM45</f>
        <v>40</v>
      </c>
      <c r="AP45" s="20">
        <v>50</v>
      </c>
      <c r="AQ45" s="32">
        <f>SUM(H45,L45,Q45,AO45)</f>
        <v>65</v>
      </c>
      <c r="AR45" s="33">
        <f>SUM(AP45,R45,I45,M45)</f>
        <v>75</v>
      </c>
      <c r="AS45" s="19"/>
      <c r="AT45" s="19"/>
      <c r="AU45" s="7"/>
    </row>
    <row r="46" spans="1:47" ht="26.25" customHeight="1" thickBot="1" x14ac:dyDescent="0.5">
      <c r="A46" s="133"/>
      <c r="B46" s="414"/>
      <c r="C46" s="183" t="s">
        <v>73</v>
      </c>
      <c r="D46" s="214" t="s">
        <v>74</v>
      </c>
      <c r="E46" s="189">
        <v>2</v>
      </c>
      <c r="F46" s="189">
        <v>2</v>
      </c>
      <c r="G46" s="189">
        <v>2</v>
      </c>
      <c r="H46" s="313">
        <f>SUM(E46:G48)</f>
        <v>6</v>
      </c>
      <c r="I46" s="196">
        <v>6</v>
      </c>
      <c r="J46" s="189">
        <v>2</v>
      </c>
      <c r="K46" s="189">
        <v>2</v>
      </c>
      <c r="L46" s="164">
        <f>SUM(J46:K48)</f>
        <v>4</v>
      </c>
      <c r="M46" s="188">
        <v>4</v>
      </c>
      <c r="N46" s="303">
        <v>5</v>
      </c>
      <c r="O46" s="303">
        <v>5</v>
      </c>
      <c r="P46" s="303">
        <v>5</v>
      </c>
      <c r="Q46" s="237">
        <f>SUM(N46:P48)</f>
        <v>15</v>
      </c>
      <c r="R46" s="196">
        <v>15</v>
      </c>
      <c r="S46" s="324">
        <v>15</v>
      </c>
      <c r="T46" s="324">
        <v>15</v>
      </c>
      <c r="U46" s="325">
        <v>14</v>
      </c>
      <c r="V46" s="306"/>
      <c r="W46" s="320">
        <v>15</v>
      </c>
      <c r="X46" s="294"/>
      <c r="Y46" s="306"/>
      <c r="Z46" s="306"/>
      <c r="AA46" s="269">
        <f>S46/W46</f>
        <v>1</v>
      </c>
      <c r="AB46" s="269">
        <f>T46/W46</f>
        <v>1</v>
      </c>
      <c r="AC46" s="269">
        <f>U46/W46</f>
        <v>0.93333333333333335</v>
      </c>
      <c r="AD46" s="316"/>
      <c r="AE46" s="315"/>
      <c r="AF46" s="315"/>
      <c r="AG46" s="265"/>
      <c r="AH46" s="251" t="str">
        <f t="shared" si="26"/>
        <v>10</v>
      </c>
      <c r="AI46" s="251" t="str">
        <f t="shared" si="26"/>
        <v>10</v>
      </c>
      <c r="AJ46" s="251" t="str">
        <f t="shared" si="26"/>
        <v>9</v>
      </c>
      <c r="AK46" s="254"/>
      <c r="AL46" s="254"/>
      <c r="AM46" s="254"/>
      <c r="AN46" s="254"/>
      <c r="AO46" s="257">
        <f>AH46+AI46+AJ46</f>
        <v>29</v>
      </c>
      <c r="AP46" s="260">
        <v>30</v>
      </c>
      <c r="AQ46" s="261">
        <f>SUM(H46,L46,Q46,AO46)</f>
        <v>54</v>
      </c>
      <c r="AR46" s="247">
        <f t="shared" ref="AR46:AR58" si="27">SUM(AP46,R46,I46,M46)</f>
        <v>55</v>
      </c>
      <c r="AS46" s="285"/>
      <c r="AT46" s="285"/>
      <c r="AU46" s="7"/>
    </row>
    <row r="47" spans="1:47" ht="26.25" customHeight="1" thickBot="1" x14ac:dyDescent="0.5">
      <c r="A47" s="133"/>
      <c r="B47" s="414"/>
      <c r="C47" s="183"/>
      <c r="D47" s="214"/>
      <c r="E47" s="190"/>
      <c r="F47" s="190"/>
      <c r="G47" s="190"/>
      <c r="H47" s="314"/>
      <c r="I47" s="197"/>
      <c r="J47" s="190"/>
      <c r="K47" s="190"/>
      <c r="L47" s="165"/>
      <c r="M47" s="188"/>
      <c r="N47" s="274"/>
      <c r="O47" s="274"/>
      <c r="P47" s="274"/>
      <c r="Q47" s="237"/>
      <c r="R47" s="197"/>
      <c r="S47" s="324"/>
      <c r="T47" s="324"/>
      <c r="U47" s="325"/>
      <c r="V47" s="306"/>
      <c r="W47" s="321"/>
      <c r="X47" s="295"/>
      <c r="Y47" s="306"/>
      <c r="Z47" s="306"/>
      <c r="AA47" s="270"/>
      <c r="AB47" s="270"/>
      <c r="AC47" s="270"/>
      <c r="AD47" s="317"/>
      <c r="AE47" s="315"/>
      <c r="AF47" s="315"/>
      <c r="AG47" s="266"/>
      <c r="AH47" s="252"/>
      <c r="AI47" s="252"/>
      <c r="AJ47" s="252"/>
      <c r="AK47" s="255"/>
      <c r="AL47" s="255"/>
      <c r="AM47" s="255"/>
      <c r="AN47" s="255"/>
      <c r="AO47" s="258"/>
      <c r="AP47" s="260"/>
      <c r="AQ47" s="262"/>
      <c r="AR47" s="248"/>
      <c r="AS47" s="286"/>
      <c r="AT47" s="286"/>
      <c r="AU47" s="7"/>
    </row>
    <row r="48" spans="1:47" ht="26.25" customHeight="1" thickBot="1" x14ac:dyDescent="0.5">
      <c r="A48" s="133"/>
      <c r="B48" s="414"/>
      <c r="C48" s="183"/>
      <c r="D48" s="214"/>
      <c r="E48" s="191"/>
      <c r="F48" s="191"/>
      <c r="G48" s="191"/>
      <c r="H48" s="323"/>
      <c r="I48" s="197"/>
      <c r="J48" s="191"/>
      <c r="K48" s="191"/>
      <c r="L48" s="166"/>
      <c r="M48" s="188"/>
      <c r="N48" s="272"/>
      <c r="O48" s="272"/>
      <c r="P48" s="272"/>
      <c r="Q48" s="237"/>
      <c r="R48" s="198"/>
      <c r="S48" s="324"/>
      <c r="T48" s="324"/>
      <c r="U48" s="325"/>
      <c r="V48" s="306"/>
      <c r="W48" s="322"/>
      <c r="X48" s="296"/>
      <c r="Y48" s="306"/>
      <c r="Z48" s="306"/>
      <c r="AA48" s="271"/>
      <c r="AB48" s="271"/>
      <c r="AC48" s="271"/>
      <c r="AD48" s="318"/>
      <c r="AE48" s="315"/>
      <c r="AF48" s="315"/>
      <c r="AG48" s="267"/>
      <c r="AH48" s="253"/>
      <c r="AI48" s="253"/>
      <c r="AJ48" s="253"/>
      <c r="AK48" s="256"/>
      <c r="AL48" s="256"/>
      <c r="AM48" s="256"/>
      <c r="AN48" s="256"/>
      <c r="AO48" s="259"/>
      <c r="AP48" s="260"/>
      <c r="AQ48" s="263"/>
      <c r="AR48" s="284"/>
      <c r="AS48" s="287"/>
      <c r="AT48" s="287"/>
      <c r="AU48" s="7"/>
    </row>
    <row r="49" spans="1:47" ht="26.25" customHeight="1" thickBot="1" x14ac:dyDescent="0.5">
      <c r="A49" s="133"/>
      <c r="B49" s="414"/>
      <c r="C49" s="183" t="s">
        <v>75</v>
      </c>
      <c r="D49" s="214" t="s">
        <v>76</v>
      </c>
      <c r="E49" s="189">
        <v>2</v>
      </c>
      <c r="F49" s="189">
        <v>2</v>
      </c>
      <c r="G49" s="189">
        <v>2</v>
      </c>
      <c r="H49" s="313">
        <f t="shared" ref="H49" si="28">SUM(E49:G51)</f>
        <v>6</v>
      </c>
      <c r="I49" s="196">
        <v>6</v>
      </c>
      <c r="J49" s="189">
        <v>2</v>
      </c>
      <c r="K49" s="189">
        <v>2</v>
      </c>
      <c r="L49" s="164">
        <f>SUM(J49:K51)</f>
        <v>4</v>
      </c>
      <c r="M49" s="188">
        <v>4</v>
      </c>
      <c r="N49" s="303">
        <v>5</v>
      </c>
      <c r="O49" s="303">
        <v>5</v>
      </c>
      <c r="P49" s="303">
        <v>5</v>
      </c>
      <c r="Q49" s="237">
        <f>SUM(N49:P51)</f>
        <v>15</v>
      </c>
      <c r="R49" s="196">
        <v>15</v>
      </c>
      <c r="S49" s="307">
        <v>15</v>
      </c>
      <c r="T49" s="307">
        <v>15</v>
      </c>
      <c r="U49" s="307">
        <v>14</v>
      </c>
      <c r="V49" s="306"/>
      <c r="W49" s="320">
        <v>15</v>
      </c>
      <c r="X49" s="294"/>
      <c r="Y49" s="306"/>
      <c r="Z49" s="306"/>
      <c r="AA49" s="269">
        <f>S49/W49</f>
        <v>1</v>
      </c>
      <c r="AB49" s="269">
        <f>T49/W49</f>
        <v>1</v>
      </c>
      <c r="AC49" s="269">
        <f>U49/W49</f>
        <v>0.93333333333333335</v>
      </c>
      <c r="AD49" s="316"/>
      <c r="AE49" s="319"/>
      <c r="AF49" s="315"/>
      <c r="AG49" s="265"/>
      <c r="AH49" s="251" t="str">
        <f t="shared" ref="AH49:AJ49" si="29">IF(AND(AA49&gt;=10%,AA49&lt;=19%),"1",IF(AND(AA49&gt;=20%,AA49&lt;=29%),"2",IF(AND(AA49&gt;=30%,AA49&lt;=39%),"3",IF(AND(AA49&gt;=40%,AA49&lt;=49%),"4",IF(AND(AA49&gt;=50%,AA49&lt;=59%),"5",IF(AND(AA49&gt;=60%,AA49&lt;=69%),"6",IF(AND(AA49&gt;=70%,AA49&lt;=79%),"7",IF(AND(AA49&gt;=80%,AA49&lt;=89%),"8",IF(AND(AA49&gt;=90%,AA49&lt;=99%),"9",IF(AND(AA49&gt;=100%,AA49&lt;=105%),"10",IF(AND(AA49&gt;=106%),"0","0")))))))))))</f>
        <v>10</v>
      </c>
      <c r="AI49" s="251" t="str">
        <f t="shared" si="29"/>
        <v>10</v>
      </c>
      <c r="AJ49" s="251" t="str">
        <f t="shared" si="29"/>
        <v>9</v>
      </c>
      <c r="AK49" s="254"/>
      <c r="AL49" s="254"/>
      <c r="AM49" s="254"/>
      <c r="AN49" s="254"/>
      <c r="AO49" s="257">
        <f>AH49+AI49+AJ49+AL49</f>
        <v>29</v>
      </c>
      <c r="AP49" s="260">
        <v>30</v>
      </c>
      <c r="AQ49" s="261">
        <f>SUM(H49,L49,Q49,AO49)</f>
        <v>54</v>
      </c>
      <c r="AR49" s="247">
        <f t="shared" si="27"/>
        <v>55</v>
      </c>
      <c r="AS49" s="285"/>
      <c r="AT49" s="285"/>
      <c r="AU49" s="7"/>
    </row>
    <row r="50" spans="1:47" ht="26.25" customHeight="1" thickBot="1" x14ac:dyDescent="0.5">
      <c r="A50" s="133"/>
      <c r="B50" s="414"/>
      <c r="C50" s="183"/>
      <c r="D50" s="214"/>
      <c r="E50" s="190"/>
      <c r="F50" s="190"/>
      <c r="G50" s="190"/>
      <c r="H50" s="314"/>
      <c r="I50" s="197"/>
      <c r="J50" s="190"/>
      <c r="K50" s="190"/>
      <c r="L50" s="165"/>
      <c r="M50" s="188"/>
      <c r="N50" s="274"/>
      <c r="O50" s="274"/>
      <c r="P50" s="274"/>
      <c r="Q50" s="237"/>
      <c r="R50" s="197"/>
      <c r="S50" s="308"/>
      <c r="T50" s="308"/>
      <c r="U50" s="308"/>
      <c r="V50" s="306"/>
      <c r="W50" s="321"/>
      <c r="X50" s="295"/>
      <c r="Y50" s="306"/>
      <c r="Z50" s="306"/>
      <c r="AA50" s="270"/>
      <c r="AB50" s="270"/>
      <c r="AC50" s="270"/>
      <c r="AD50" s="317"/>
      <c r="AE50" s="319"/>
      <c r="AF50" s="315"/>
      <c r="AG50" s="266"/>
      <c r="AH50" s="252"/>
      <c r="AI50" s="252"/>
      <c r="AJ50" s="252"/>
      <c r="AK50" s="255"/>
      <c r="AL50" s="255"/>
      <c r="AM50" s="255"/>
      <c r="AN50" s="255"/>
      <c r="AO50" s="258"/>
      <c r="AP50" s="260"/>
      <c r="AQ50" s="262"/>
      <c r="AR50" s="248"/>
      <c r="AS50" s="286"/>
      <c r="AT50" s="286"/>
      <c r="AU50" s="7"/>
    </row>
    <row r="51" spans="1:47" ht="26.25" customHeight="1" thickBot="1" x14ac:dyDescent="0.5">
      <c r="A51" s="133"/>
      <c r="B51" s="414"/>
      <c r="C51" s="183"/>
      <c r="D51" s="214"/>
      <c r="E51" s="191"/>
      <c r="F51" s="191"/>
      <c r="G51" s="191"/>
      <c r="H51" s="323"/>
      <c r="I51" s="197"/>
      <c r="J51" s="191"/>
      <c r="K51" s="191"/>
      <c r="L51" s="166"/>
      <c r="M51" s="188"/>
      <c r="N51" s="272"/>
      <c r="O51" s="272"/>
      <c r="P51" s="272"/>
      <c r="Q51" s="237"/>
      <c r="R51" s="198"/>
      <c r="S51" s="309"/>
      <c r="T51" s="309"/>
      <c r="U51" s="309"/>
      <c r="V51" s="306"/>
      <c r="W51" s="322"/>
      <c r="X51" s="296"/>
      <c r="Y51" s="306"/>
      <c r="Z51" s="306"/>
      <c r="AA51" s="271"/>
      <c r="AB51" s="271"/>
      <c r="AC51" s="271"/>
      <c r="AD51" s="318"/>
      <c r="AE51" s="319"/>
      <c r="AF51" s="315"/>
      <c r="AG51" s="267"/>
      <c r="AH51" s="253"/>
      <c r="AI51" s="253"/>
      <c r="AJ51" s="253"/>
      <c r="AK51" s="256"/>
      <c r="AL51" s="256"/>
      <c r="AM51" s="256"/>
      <c r="AN51" s="256"/>
      <c r="AO51" s="259"/>
      <c r="AP51" s="260"/>
      <c r="AQ51" s="263"/>
      <c r="AR51" s="284"/>
      <c r="AS51" s="287"/>
      <c r="AT51" s="287"/>
      <c r="AU51" s="7"/>
    </row>
    <row r="52" spans="1:47" ht="26.25" customHeight="1" thickBot="1" x14ac:dyDescent="0.5">
      <c r="A52" s="133"/>
      <c r="B52" s="414"/>
      <c r="C52" s="189" t="s">
        <v>77</v>
      </c>
      <c r="D52" s="310" t="s">
        <v>78</v>
      </c>
      <c r="E52" s="183">
        <v>2</v>
      </c>
      <c r="F52" s="183">
        <v>2</v>
      </c>
      <c r="G52" s="183">
        <v>2</v>
      </c>
      <c r="H52" s="313">
        <f t="shared" ref="H52" si="30">SUM(E52:G54)</f>
        <v>6</v>
      </c>
      <c r="I52" s="196">
        <v>6</v>
      </c>
      <c r="J52" s="189">
        <v>2</v>
      </c>
      <c r="K52" s="189">
        <v>2</v>
      </c>
      <c r="L52" s="164">
        <f>SUM(J52:K54)</f>
        <v>4</v>
      </c>
      <c r="M52" s="188">
        <v>4</v>
      </c>
      <c r="N52" s="307">
        <v>5</v>
      </c>
      <c r="O52" s="307">
        <v>5</v>
      </c>
      <c r="P52" s="307">
        <v>5</v>
      </c>
      <c r="Q52" s="237">
        <f>SUM(N52:P54)</f>
        <v>15</v>
      </c>
      <c r="R52" s="188">
        <v>15</v>
      </c>
      <c r="S52" s="297">
        <v>0</v>
      </c>
      <c r="T52" s="297">
        <v>0</v>
      </c>
      <c r="U52" s="297">
        <v>0</v>
      </c>
      <c r="V52" s="297">
        <v>0</v>
      </c>
      <c r="W52" s="297">
        <v>0</v>
      </c>
      <c r="X52" s="294"/>
      <c r="Y52" s="297">
        <v>0</v>
      </c>
      <c r="Z52" s="306"/>
      <c r="AA52" s="269" t="e">
        <f>S52/W52</f>
        <v>#DIV/0!</v>
      </c>
      <c r="AB52" s="269" t="e">
        <f>T52/W52</f>
        <v>#DIV/0!</v>
      </c>
      <c r="AC52" s="269" t="e">
        <f>U52/W52</f>
        <v>#DIV/0!</v>
      </c>
      <c r="AD52" s="269" t="e">
        <f>V52/W52</f>
        <v>#DIV/0!</v>
      </c>
      <c r="AE52" s="291"/>
      <c r="AF52" s="264" t="e">
        <f>Y52/W52</f>
        <v>#DIV/0!</v>
      </c>
      <c r="AG52" s="265"/>
      <c r="AH52" s="251" t="e">
        <f t="shared" ref="AH52:AM52" si="31">IF(AND(AA52&gt;=10%,AA52&lt;=19%),"1",IF(AND(AA52&gt;=20%,AA52&lt;=29%),"2",IF(AND(AA52&gt;=30%,AA52&lt;=39%),"3",IF(AND(AA52&gt;=40%,AA52&lt;=49%),"4",IF(AND(AA52&gt;=50%,AA52&lt;=59%),"5",IF(AND(AA52&gt;=60%,AA52&lt;=69%),"6",IF(AND(AA52&gt;=70%,AA52&lt;=79%),"7",IF(AND(AA52&gt;=80%,AA52&lt;=89%),"8",IF(AND(AA52&gt;=90%,AA52&lt;=99%),"9",IF(AND(AA52&gt;=100%,AA52&lt;=105%),"10",IF(AND(AA52&gt;=106%),"0","0")))))))))))</f>
        <v>#DIV/0!</v>
      </c>
      <c r="AI52" s="251" t="e">
        <f t="shared" si="31"/>
        <v>#DIV/0!</v>
      </c>
      <c r="AJ52" s="251" t="e">
        <f t="shared" si="31"/>
        <v>#DIV/0!</v>
      </c>
      <c r="AK52" s="251" t="e">
        <f t="shared" si="31"/>
        <v>#DIV/0!</v>
      </c>
      <c r="AL52" s="254"/>
      <c r="AM52" s="251" t="e">
        <f t="shared" si="31"/>
        <v>#DIV/0!</v>
      </c>
      <c r="AN52" s="254"/>
      <c r="AO52" s="257">
        <v>50</v>
      </c>
      <c r="AP52" s="260">
        <v>50</v>
      </c>
      <c r="AQ52" s="261">
        <f>SUM(H52,L52,Q52,AO52)</f>
        <v>75</v>
      </c>
      <c r="AR52" s="247">
        <f t="shared" si="27"/>
        <v>75</v>
      </c>
      <c r="AS52" s="285"/>
      <c r="AT52" s="285"/>
      <c r="AU52" s="7"/>
    </row>
    <row r="53" spans="1:47" ht="26.25" customHeight="1" thickBot="1" x14ac:dyDescent="0.5">
      <c r="A53" s="133"/>
      <c r="B53" s="414"/>
      <c r="C53" s="190"/>
      <c r="D53" s="311"/>
      <c r="E53" s="183"/>
      <c r="F53" s="183"/>
      <c r="G53" s="183"/>
      <c r="H53" s="314"/>
      <c r="I53" s="197"/>
      <c r="J53" s="190"/>
      <c r="K53" s="190"/>
      <c r="L53" s="165"/>
      <c r="M53" s="188"/>
      <c r="N53" s="308"/>
      <c r="O53" s="308"/>
      <c r="P53" s="308"/>
      <c r="Q53" s="237"/>
      <c r="R53" s="188"/>
      <c r="S53" s="297"/>
      <c r="T53" s="297"/>
      <c r="U53" s="297"/>
      <c r="V53" s="297"/>
      <c r="W53" s="297"/>
      <c r="X53" s="295"/>
      <c r="Y53" s="297"/>
      <c r="Z53" s="306"/>
      <c r="AA53" s="270"/>
      <c r="AB53" s="270"/>
      <c r="AC53" s="270"/>
      <c r="AD53" s="270"/>
      <c r="AE53" s="292"/>
      <c r="AF53" s="264"/>
      <c r="AG53" s="266"/>
      <c r="AH53" s="252"/>
      <c r="AI53" s="252"/>
      <c r="AJ53" s="252"/>
      <c r="AK53" s="252"/>
      <c r="AL53" s="255"/>
      <c r="AM53" s="252"/>
      <c r="AN53" s="255"/>
      <c r="AO53" s="258"/>
      <c r="AP53" s="260"/>
      <c r="AQ53" s="262"/>
      <c r="AR53" s="248"/>
      <c r="AS53" s="286"/>
      <c r="AT53" s="286"/>
      <c r="AU53" s="7"/>
    </row>
    <row r="54" spans="1:47" ht="26.25" customHeight="1" thickBot="1" x14ac:dyDescent="0.5">
      <c r="A54" s="133"/>
      <c r="B54" s="414"/>
      <c r="C54" s="191"/>
      <c r="D54" s="312"/>
      <c r="E54" s="189"/>
      <c r="F54" s="189"/>
      <c r="G54" s="189"/>
      <c r="H54" s="314"/>
      <c r="I54" s="198"/>
      <c r="J54" s="191"/>
      <c r="K54" s="191"/>
      <c r="L54" s="166"/>
      <c r="M54" s="188"/>
      <c r="N54" s="309"/>
      <c r="O54" s="309"/>
      <c r="P54" s="309"/>
      <c r="Q54" s="237"/>
      <c r="R54" s="188"/>
      <c r="S54" s="305"/>
      <c r="T54" s="305"/>
      <c r="U54" s="305"/>
      <c r="V54" s="305"/>
      <c r="W54" s="305"/>
      <c r="X54" s="295"/>
      <c r="Y54" s="305"/>
      <c r="Z54" s="306"/>
      <c r="AA54" s="271"/>
      <c r="AB54" s="271"/>
      <c r="AC54" s="271"/>
      <c r="AD54" s="271"/>
      <c r="AE54" s="293"/>
      <c r="AF54" s="264"/>
      <c r="AG54" s="267"/>
      <c r="AH54" s="253"/>
      <c r="AI54" s="253"/>
      <c r="AJ54" s="253"/>
      <c r="AK54" s="253"/>
      <c r="AL54" s="256"/>
      <c r="AM54" s="253"/>
      <c r="AN54" s="256"/>
      <c r="AO54" s="259"/>
      <c r="AP54" s="260"/>
      <c r="AQ54" s="263"/>
      <c r="AR54" s="284"/>
      <c r="AS54" s="287"/>
      <c r="AT54" s="287"/>
      <c r="AU54" s="7"/>
    </row>
    <row r="55" spans="1:47" ht="26.25" customHeight="1" thickBot="1" x14ac:dyDescent="0.5">
      <c r="A55" s="133"/>
      <c r="B55" s="414"/>
      <c r="C55" s="189" t="s">
        <v>79</v>
      </c>
      <c r="D55" s="288" t="s">
        <v>80</v>
      </c>
      <c r="E55" s="212">
        <v>2</v>
      </c>
      <c r="F55" s="212">
        <v>2</v>
      </c>
      <c r="G55" s="212">
        <v>2</v>
      </c>
      <c r="H55" s="278">
        <f>SUM(E55:G57)</f>
        <v>6</v>
      </c>
      <c r="I55" s="281">
        <v>6</v>
      </c>
      <c r="J55" s="238">
        <v>2</v>
      </c>
      <c r="K55" s="238">
        <v>2</v>
      </c>
      <c r="L55" s="164">
        <f>SUM(J55:K57)</f>
        <v>4</v>
      </c>
      <c r="M55" s="196">
        <v>4</v>
      </c>
      <c r="N55" s="303">
        <v>5</v>
      </c>
      <c r="O55" s="303">
        <v>5</v>
      </c>
      <c r="P55" s="303">
        <v>5</v>
      </c>
      <c r="Q55" s="164">
        <f>SUM(N55:P57)</f>
        <v>15</v>
      </c>
      <c r="R55" s="301">
        <v>15</v>
      </c>
      <c r="S55" s="273">
        <v>0</v>
      </c>
      <c r="T55" s="297">
        <v>0</v>
      </c>
      <c r="U55" s="297">
        <v>0</v>
      </c>
      <c r="V55" s="297">
        <v>0</v>
      </c>
      <c r="W55" s="297">
        <v>0</v>
      </c>
      <c r="X55" s="294"/>
      <c r="Y55" s="297">
        <v>0</v>
      </c>
      <c r="Z55" s="298"/>
      <c r="AA55" s="269" t="e">
        <f>S55/W55</f>
        <v>#DIV/0!</v>
      </c>
      <c r="AB55" s="269" t="e">
        <f>T55/W55</f>
        <v>#DIV/0!</v>
      </c>
      <c r="AC55" s="269" t="e">
        <f>U55/W55</f>
        <v>#DIV/0!</v>
      </c>
      <c r="AD55" s="269" t="e">
        <f>V55/W55</f>
        <v>#DIV/0!</v>
      </c>
      <c r="AE55" s="291"/>
      <c r="AF55" s="264" t="e">
        <f>Y55/W55</f>
        <v>#DIV/0!</v>
      </c>
      <c r="AG55" s="265"/>
      <c r="AH55" s="251" t="e">
        <f t="shared" ref="AH55:AM55" si="32">IF(AND(AA55&gt;=10%,AA55&lt;=19%),"1",IF(AND(AA55&gt;=20%,AA55&lt;=29%),"2",IF(AND(AA55&gt;=30%,AA55&lt;=39%),"3",IF(AND(AA55&gt;=40%,AA55&lt;=49%),"4",IF(AND(AA55&gt;=50%,AA55&lt;=59%),"5",IF(AND(AA55&gt;=60%,AA55&lt;=69%),"6",IF(AND(AA55&gt;=70%,AA55&lt;=79%),"7",IF(AND(AA55&gt;=80%,AA55&lt;=89%),"8",IF(AND(AA55&gt;=90%,AA55&lt;=99%),"9",IF(AND(AA55&gt;=100%,AA55&lt;=105%),"10",IF(AND(AA55&gt;=106%),"0","0")))))))))))</f>
        <v>#DIV/0!</v>
      </c>
      <c r="AI55" s="251" t="e">
        <f t="shared" si="32"/>
        <v>#DIV/0!</v>
      </c>
      <c r="AJ55" s="251" t="e">
        <f t="shared" si="32"/>
        <v>#DIV/0!</v>
      </c>
      <c r="AK55" s="251" t="e">
        <f t="shared" si="32"/>
        <v>#DIV/0!</v>
      </c>
      <c r="AL55" s="254"/>
      <c r="AM55" s="251" t="e">
        <f t="shared" si="32"/>
        <v>#DIV/0!</v>
      </c>
      <c r="AN55" s="254"/>
      <c r="AO55" s="257">
        <v>50</v>
      </c>
      <c r="AP55" s="282">
        <v>50</v>
      </c>
      <c r="AQ55" s="261">
        <f>SUM(H55,L55,Q55,AO55)</f>
        <v>75</v>
      </c>
      <c r="AR55" s="247">
        <f t="shared" si="27"/>
        <v>75</v>
      </c>
      <c r="AS55" s="285"/>
      <c r="AT55" s="285"/>
      <c r="AU55" s="7"/>
    </row>
    <row r="56" spans="1:47" ht="26.25" customHeight="1" thickBot="1" x14ac:dyDescent="0.5">
      <c r="A56" s="133"/>
      <c r="B56" s="414"/>
      <c r="C56" s="190"/>
      <c r="D56" s="289"/>
      <c r="E56" s="212"/>
      <c r="F56" s="212"/>
      <c r="G56" s="212"/>
      <c r="H56" s="278"/>
      <c r="I56" s="304"/>
      <c r="J56" s="239"/>
      <c r="K56" s="239"/>
      <c r="L56" s="165"/>
      <c r="M56" s="197"/>
      <c r="N56" s="274"/>
      <c r="O56" s="274"/>
      <c r="P56" s="274"/>
      <c r="Q56" s="165"/>
      <c r="R56" s="302"/>
      <c r="S56" s="273"/>
      <c r="T56" s="297"/>
      <c r="U56" s="297"/>
      <c r="V56" s="297"/>
      <c r="W56" s="297"/>
      <c r="X56" s="295"/>
      <c r="Y56" s="297"/>
      <c r="Z56" s="299"/>
      <c r="AA56" s="270"/>
      <c r="AB56" s="270"/>
      <c r="AC56" s="270"/>
      <c r="AD56" s="270"/>
      <c r="AE56" s="292"/>
      <c r="AF56" s="264"/>
      <c r="AG56" s="266"/>
      <c r="AH56" s="252"/>
      <c r="AI56" s="252"/>
      <c r="AJ56" s="252"/>
      <c r="AK56" s="252"/>
      <c r="AL56" s="255"/>
      <c r="AM56" s="252"/>
      <c r="AN56" s="255"/>
      <c r="AO56" s="258"/>
      <c r="AP56" s="283"/>
      <c r="AQ56" s="262"/>
      <c r="AR56" s="248"/>
      <c r="AS56" s="286"/>
      <c r="AT56" s="286"/>
      <c r="AU56" s="7"/>
    </row>
    <row r="57" spans="1:47" ht="26.25" customHeight="1" thickBot="1" x14ac:dyDescent="0.5">
      <c r="A57" s="133"/>
      <c r="B57" s="414"/>
      <c r="C57" s="191"/>
      <c r="D57" s="290"/>
      <c r="E57" s="238"/>
      <c r="F57" s="238"/>
      <c r="G57" s="238"/>
      <c r="H57" s="278"/>
      <c r="I57" s="304"/>
      <c r="J57" s="240"/>
      <c r="K57" s="240"/>
      <c r="L57" s="166"/>
      <c r="M57" s="197"/>
      <c r="N57" s="272"/>
      <c r="O57" s="272"/>
      <c r="P57" s="272"/>
      <c r="Q57" s="166"/>
      <c r="R57" s="302"/>
      <c r="S57" s="273"/>
      <c r="T57" s="297"/>
      <c r="U57" s="297"/>
      <c r="V57" s="297"/>
      <c r="W57" s="297"/>
      <c r="X57" s="296"/>
      <c r="Y57" s="297"/>
      <c r="Z57" s="300"/>
      <c r="AA57" s="271"/>
      <c r="AB57" s="271"/>
      <c r="AC57" s="271"/>
      <c r="AD57" s="271"/>
      <c r="AE57" s="293"/>
      <c r="AF57" s="264"/>
      <c r="AG57" s="267"/>
      <c r="AH57" s="252"/>
      <c r="AI57" s="252"/>
      <c r="AJ57" s="252"/>
      <c r="AK57" s="252"/>
      <c r="AL57" s="256"/>
      <c r="AM57" s="252"/>
      <c r="AN57" s="256"/>
      <c r="AO57" s="258"/>
      <c r="AP57" s="283"/>
      <c r="AQ57" s="262"/>
      <c r="AR57" s="284"/>
      <c r="AS57" s="287"/>
      <c r="AT57" s="287"/>
      <c r="AU57" s="7"/>
    </row>
    <row r="58" spans="1:47" ht="26.25" customHeight="1" thickBot="1" x14ac:dyDescent="0.5">
      <c r="A58" s="133"/>
      <c r="B58" s="414"/>
      <c r="C58" s="183" t="s">
        <v>81</v>
      </c>
      <c r="D58" s="288" t="s">
        <v>82</v>
      </c>
      <c r="E58" s="212">
        <v>2</v>
      </c>
      <c r="F58" s="212">
        <v>2</v>
      </c>
      <c r="G58" s="212">
        <v>2</v>
      </c>
      <c r="H58" s="278">
        <f>SUM(E58:G60)</f>
        <v>6</v>
      </c>
      <c r="I58" s="279">
        <v>6</v>
      </c>
      <c r="J58" s="238">
        <v>2</v>
      </c>
      <c r="K58" s="238">
        <v>2</v>
      </c>
      <c r="L58" s="165">
        <f>SUM(J58:K60)</f>
        <v>4</v>
      </c>
      <c r="M58" s="198">
        <v>4</v>
      </c>
      <c r="N58" s="274">
        <v>5</v>
      </c>
      <c r="O58" s="274">
        <v>5</v>
      </c>
      <c r="P58" s="274">
        <v>5</v>
      </c>
      <c r="Q58" s="275">
        <f>SUM(N58:P60)</f>
        <v>15</v>
      </c>
      <c r="R58" s="276">
        <v>15</v>
      </c>
      <c r="S58" s="272">
        <v>12</v>
      </c>
      <c r="T58" s="272">
        <v>12</v>
      </c>
      <c r="U58" s="272">
        <v>9</v>
      </c>
      <c r="V58" s="272">
        <v>12</v>
      </c>
      <c r="W58" s="272">
        <v>12</v>
      </c>
      <c r="X58" s="272">
        <v>12</v>
      </c>
      <c r="Y58" s="272">
        <v>12</v>
      </c>
      <c r="Z58" s="268"/>
      <c r="AA58" s="269">
        <f t="shared" ref="AA58" si="33">S58/W58</f>
        <v>1</v>
      </c>
      <c r="AB58" s="269">
        <f t="shared" ref="AB58" si="34">T58/W58</f>
        <v>1</v>
      </c>
      <c r="AC58" s="269">
        <f t="shared" ref="AC58" si="35">U58/W58</f>
        <v>0.75</v>
      </c>
      <c r="AD58" s="269">
        <f t="shared" ref="AD58" si="36">V58/W58</f>
        <v>1</v>
      </c>
      <c r="AE58" s="269">
        <f>X58/W58</f>
        <v>1</v>
      </c>
      <c r="AF58" s="264">
        <f>Y58/W58</f>
        <v>1</v>
      </c>
      <c r="AG58" s="265"/>
      <c r="AH58" s="251" t="str">
        <f t="shared" ref="AH58:AM58" si="37">IF(AND(AA58&gt;=10%,AA58&lt;=19%),"1",IF(AND(AA58&gt;=20%,AA58&lt;=29%),"2",IF(AND(AA58&gt;=30%,AA58&lt;=39%),"3",IF(AND(AA58&gt;=40%,AA58&lt;=49%),"4",IF(AND(AA58&gt;=50%,AA58&lt;=59%),"5",IF(AND(AA58&gt;=60%,AA58&lt;=69%),"6",IF(AND(AA58&gt;=70%,AA58&lt;=79%),"7",IF(AND(AA58&gt;=80%,AA58&lt;=89%),"8",IF(AND(AA58&gt;=90%,AA58&lt;=99%),"9",IF(AND(AA58&gt;=100%,AA58&lt;=105%),"10",IF(AND(AA58&gt;=106%),"0","0")))))))))))</f>
        <v>10</v>
      </c>
      <c r="AI58" s="251" t="str">
        <f t="shared" si="37"/>
        <v>10</v>
      </c>
      <c r="AJ58" s="251" t="str">
        <f t="shared" si="37"/>
        <v>7</v>
      </c>
      <c r="AK58" s="251" t="str">
        <f t="shared" si="37"/>
        <v>10</v>
      </c>
      <c r="AL58" s="251" t="str">
        <f t="shared" si="37"/>
        <v>10</v>
      </c>
      <c r="AM58" s="251" t="str">
        <f t="shared" si="37"/>
        <v>10</v>
      </c>
      <c r="AN58" s="254"/>
      <c r="AO58" s="257">
        <f>AH58+AI58+AJ58+AK58+AL58+AM58</f>
        <v>57</v>
      </c>
      <c r="AP58" s="260">
        <v>60</v>
      </c>
      <c r="AQ58" s="261">
        <f t="shared" ref="AQ58" si="38">SUM(AO58,Q58,L58,H58)</f>
        <v>82</v>
      </c>
      <c r="AR58" s="247">
        <f t="shared" si="27"/>
        <v>85</v>
      </c>
      <c r="AS58" s="250"/>
      <c r="AT58" s="250"/>
      <c r="AU58" s="7"/>
    </row>
    <row r="59" spans="1:47" ht="26.25" customHeight="1" thickBot="1" x14ac:dyDescent="0.5">
      <c r="A59" s="133"/>
      <c r="B59" s="414"/>
      <c r="C59" s="183"/>
      <c r="D59" s="289"/>
      <c r="E59" s="212"/>
      <c r="F59" s="212"/>
      <c r="G59" s="212"/>
      <c r="H59" s="278"/>
      <c r="I59" s="280"/>
      <c r="J59" s="239"/>
      <c r="K59" s="239"/>
      <c r="L59" s="165"/>
      <c r="M59" s="188"/>
      <c r="N59" s="274"/>
      <c r="O59" s="274"/>
      <c r="P59" s="274"/>
      <c r="Q59" s="237"/>
      <c r="R59" s="277"/>
      <c r="S59" s="273"/>
      <c r="T59" s="273"/>
      <c r="U59" s="273"/>
      <c r="V59" s="273"/>
      <c r="W59" s="273"/>
      <c r="X59" s="273"/>
      <c r="Y59" s="273"/>
      <c r="Z59" s="268"/>
      <c r="AA59" s="270"/>
      <c r="AB59" s="270"/>
      <c r="AC59" s="270"/>
      <c r="AD59" s="270"/>
      <c r="AE59" s="270"/>
      <c r="AF59" s="264"/>
      <c r="AG59" s="266"/>
      <c r="AH59" s="252"/>
      <c r="AI59" s="252"/>
      <c r="AJ59" s="252"/>
      <c r="AK59" s="252"/>
      <c r="AL59" s="252"/>
      <c r="AM59" s="252"/>
      <c r="AN59" s="255"/>
      <c r="AO59" s="258"/>
      <c r="AP59" s="260"/>
      <c r="AQ59" s="262"/>
      <c r="AR59" s="248"/>
      <c r="AS59" s="250"/>
      <c r="AT59" s="250"/>
      <c r="AU59" s="7"/>
    </row>
    <row r="60" spans="1:47" ht="26.25" customHeight="1" thickBot="1" x14ac:dyDescent="0.5">
      <c r="A60" s="133"/>
      <c r="B60" s="414"/>
      <c r="C60" s="183"/>
      <c r="D60" s="290"/>
      <c r="E60" s="212"/>
      <c r="F60" s="212"/>
      <c r="G60" s="212"/>
      <c r="H60" s="278"/>
      <c r="I60" s="281"/>
      <c r="J60" s="240"/>
      <c r="K60" s="240"/>
      <c r="L60" s="166"/>
      <c r="M60" s="196"/>
      <c r="N60" s="272"/>
      <c r="O60" s="272"/>
      <c r="P60" s="272"/>
      <c r="Q60" s="237"/>
      <c r="R60" s="277"/>
      <c r="S60" s="273"/>
      <c r="T60" s="273"/>
      <c r="U60" s="273"/>
      <c r="V60" s="273"/>
      <c r="W60" s="273"/>
      <c r="X60" s="273"/>
      <c r="Y60" s="273"/>
      <c r="Z60" s="268"/>
      <c r="AA60" s="271"/>
      <c r="AB60" s="271"/>
      <c r="AC60" s="271"/>
      <c r="AD60" s="271"/>
      <c r="AE60" s="271"/>
      <c r="AF60" s="264"/>
      <c r="AG60" s="267"/>
      <c r="AH60" s="253"/>
      <c r="AI60" s="253"/>
      <c r="AJ60" s="253"/>
      <c r="AK60" s="253"/>
      <c r="AL60" s="253"/>
      <c r="AM60" s="253"/>
      <c r="AN60" s="256"/>
      <c r="AO60" s="259"/>
      <c r="AP60" s="260"/>
      <c r="AQ60" s="263"/>
      <c r="AR60" s="249"/>
      <c r="AS60" s="250"/>
      <c r="AT60" s="250"/>
      <c r="AU60" s="7"/>
    </row>
    <row r="61" spans="1:47" s="2" customFormat="1" ht="53.65" customHeight="1" thickBot="1" x14ac:dyDescent="0.5">
      <c r="A61" s="139"/>
      <c r="B61" s="414"/>
      <c r="C61" s="36"/>
      <c r="D61" s="37"/>
      <c r="E61" s="104"/>
      <c r="F61" s="83"/>
      <c r="G61" s="105"/>
      <c r="H61" s="103">
        <f>SUM(H11:H60)</f>
        <v>112</v>
      </c>
      <c r="I61" s="39">
        <f>SUM(I11:I58)</f>
        <v>120</v>
      </c>
      <c r="J61" s="40"/>
      <c r="K61" s="38"/>
      <c r="L61" s="39">
        <f>SUM(L11:L58)</f>
        <v>72</v>
      </c>
      <c r="M61" s="39">
        <f>SUM(M11:M58)</f>
        <v>80</v>
      </c>
      <c r="N61" s="41" t="s">
        <v>83</v>
      </c>
      <c r="O61" s="42" t="s">
        <v>84</v>
      </c>
      <c r="P61" s="43" t="s">
        <v>85</v>
      </c>
      <c r="Q61" s="39">
        <f>SUM(Q11:Q58)</f>
        <v>240</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662</v>
      </c>
      <c r="AP61" s="50">
        <f>SUM(AP11:AP60)</f>
        <v>800</v>
      </c>
      <c r="AQ61" s="51">
        <f>SUM(AQ11:AQ60)</f>
        <v>1086</v>
      </c>
      <c r="AR61" s="39">
        <f>SUM(AR11:AR60)</f>
        <v>1300</v>
      </c>
      <c r="AS61" s="52"/>
      <c r="AT61" s="53"/>
      <c r="AU61" s="7"/>
    </row>
    <row r="62" spans="1:47" ht="38.25" customHeight="1" thickBot="1" x14ac:dyDescent="0.5">
      <c r="A62" s="133"/>
      <c r="B62" s="414"/>
      <c r="C62" s="24" t="s">
        <v>86</v>
      </c>
      <c r="D62" s="18" t="s">
        <v>87</v>
      </c>
      <c r="E62" s="8">
        <v>2</v>
      </c>
      <c r="F62" s="8">
        <v>2</v>
      </c>
      <c r="G62" s="8">
        <v>2</v>
      </c>
      <c r="H62" s="9">
        <f>SUM(E62:G62)</f>
        <v>6</v>
      </c>
      <c r="I62" s="25">
        <v>6</v>
      </c>
      <c r="J62" s="11">
        <v>2</v>
      </c>
      <c r="K62" s="8">
        <v>2</v>
      </c>
      <c r="L62" s="13">
        <f>SUM(J62:K62)</f>
        <v>4</v>
      </c>
      <c r="M62" s="25">
        <v>4</v>
      </c>
      <c r="N62" s="11">
        <v>5</v>
      </c>
      <c r="O62" s="8">
        <v>5</v>
      </c>
      <c r="P62" s="8">
        <v>5</v>
      </c>
      <c r="Q62" s="35">
        <f>SUM(N62:P62)</f>
        <v>15</v>
      </c>
      <c r="R62" s="25">
        <v>15</v>
      </c>
      <c r="S62" s="129">
        <v>2262</v>
      </c>
      <c r="T62" s="129">
        <v>2262</v>
      </c>
      <c r="U62" s="129">
        <v>2262</v>
      </c>
      <c r="V62" s="129">
        <v>2262</v>
      </c>
      <c r="W62" s="129">
        <v>2263</v>
      </c>
      <c r="X62" s="129">
        <v>2262</v>
      </c>
      <c r="Y62" s="30"/>
      <c r="Z62" s="30"/>
      <c r="AA62" s="54">
        <f>S62/W62</f>
        <v>0.99955810870525852</v>
      </c>
      <c r="AB62" s="54">
        <f>T62/W62</f>
        <v>0.99955810870525852</v>
      </c>
      <c r="AC62" s="54">
        <f>U62/W62</f>
        <v>0.99955810870525852</v>
      </c>
      <c r="AD62" s="54">
        <f>V62/W62</f>
        <v>0.99955810870525852</v>
      </c>
      <c r="AE62" s="55">
        <f>X62/W62</f>
        <v>0.99955810870525852</v>
      </c>
      <c r="AF62" s="56"/>
      <c r="AG62" s="56"/>
      <c r="AH62" s="57">
        <v>9</v>
      </c>
      <c r="AI62" s="57">
        <v>9</v>
      </c>
      <c r="AJ62" s="57">
        <v>9</v>
      </c>
      <c r="AK62" s="57">
        <v>9</v>
      </c>
      <c r="AL62" s="57">
        <v>9</v>
      </c>
      <c r="AM62" s="58"/>
      <c r="AN62" s="58"/>
      <c r="AO62" s="12">
        <f>AH62+AI62+AJ62+AK62+AL62</f>
        <v>45</v>
      </c>
      <c r="AP62" s="59">
        <v>50</v>
      </c>
      <c r="AQ62" s="60">
        <f>SUM(H62,L62,Q62,AO62)</f>
        <v>70</v>
      </c>
      <c r="AR62" s="25">
        <f>SUM(AP62,R62,M62,I62)</f>
        <v>75</v>
      </c>
      <c r="AS62" s="24"/>
      <c r="AT62" s="24"/>
      <c r="AU62" s="7"/>
    </row>
    <row r="63" spans="1:47" ht="26.25" customHeight="1" thickBot="1" x14ac:dyDescent="0.5">
      <c r="A63" s="133"/>
      <c r="B63" s="414"/>
      <c r="C63" s="183" t="s">
        <v>88</v>
      </c>
      <c r="D63" s="214" t="s">
        <v>89</v>
      </c>
      <c r="E63" s="183">
        <v>2</v>
      </c>
      <c r="F63" s="183">
        <v>2</v>
      </c>
      <c r="G63" s="183">
        <v>2</v>
      </c>
      <c r="H63" s="187">
        <f>SUM(E63:G65)</f>
        <v>6</v>
      </c>
      <c r="I63" s="188">
        <v>6</v>
      </c>
      <c r="J63" s="183">
        <v>2</v>
      </c>
      <c r="K63" s="183">
        <v>2</v>
      </c>
      <c r="L63" s="237">
        <f>SUM(J63:K65)</f>
        <v>4</v>
      </c>
      <c r="M63" s="188">
        <v>4</v>
      </c>
      <c r="N63" s="238">
        <v>5</v>
      </c>
      <c r="O63" s="238">
        <v>5</v>
      </c>
      <c r="P63" s="238">
        <v>5</v>
      </c>
      <c r="Q63" s="237">
        <f>SUM(N63:P65)</f>
        <v>15</v>
      </c>
      <c r="R63" s="188">
        <v>15</v>
      </c>
      <c r="S63" s="195">
        <v>12</v>
      </c>
      <c r="T63" s="233">
        <v>12</v>
      </c>
      <c r="U63" s="177"/>
      <c r="V63" s="195">
        <v>12</v>
      </c>
      <c r="W63" s="244">
        <v>12</v>
      </c>
      <c r="X63" s="234">
        <v>12</v>
      </c>
      <c r="Y63" s="183">
        <v>12</v>
      </c>
      <c r="Z63" s="177"/>
      <c r="AA63" s="222">
        <f>S63/W63</f>
        <v>1</v>
      </c>
      <c r="AB63" s="222">
        <f>T63/W63</f>
        <v>1</v>
      </c>
      <c r="AC63" s="230"/>
      <c r="AD63" s="222">
        <f>V63/W63</f>
        <v>1</v>
      </c>
      <c r="AE63" s="226">
        <f>X63/W63</f>
        <v>1</v>
      </c>
      <c r="AF63" s="226">
        <f>Y63/W63</f>
        <v>1</v>
      </c>
      <c r="AG63" s="242"/>
      <c r="AH63" s="211" t="str">
        <f t="shared" ref="AH63:AL63" si="39">IF(AND(AA63&gt;=10%,AA63&lt;=19%),"1",IF(AND(AA63&gt;=20%,AA63&lt;=29%),"2",IF(AND(AA63&gt;=30%,AA63&lt;=39%),"3",IF(AND(AA63&gt;=40%,AA63&lt;=49%),"4",IF(AND(AA63&gt;=50%,AA63&lt;=59%),"5",IF(AND(AA63&gt;=60%,AA63&lt;=69%),"6",IF(AND(AA63&gt;=70%,AA63&lt;=79%),"7",IF(AND(AA63&gt;=80%,AA63&lt;=89%),"8",IF(AND(AA63&gt;=90%,AA63&lt;=99%),"9",IF(AND(AA63&gt;=100%,AA63&lt;=105%),"10",IF(AND(AA63&gt;=106%),"0","0")))))))))))</f>
        <v>10</v>
      </c>
      <c r="AI63" s="211" t="str">
        <f t="shared" si="39"/>
        <v>10</v>
      </c>
      <c r="AJ63" s="163"/>
      <c r="AK63" s="211" t="str">
        <f t="shared" si="39"/>
        <v>10</v>
      </c>
      <c r="AL63" s="211" t="str">
        <f t="shared" si="39"/>
        <v>10</v>
      </c>
      <c r="AM63" s="211" t="str">
        <f>IF(AND(AF63&gt;=10%,AF63&lt;=19%),"1",IF(AND(AF63&gt;=20%,AF63&lt;=29%),"2",IF(AND(AF63&gt;=30%,AF63&lt;=39%),"3",IF(AND(AF63&gt;=40%,AF63&lt;=49%),"4",IF(AND(AF63&gt;=50%,AF63&lt;=59%),"5",IF(AND(AF63&gt;=60%,AF63&lt;=69%),"6",IF(AND(AF63&gt;=70%,AF63&lt;=79%),"7",IF(AND(AF63&gt;=80%,AF63&lt;=89%),"8",IF(AND(AF63&gt;=90%,AF63&lt;=99%),"9",IF(AND(AF63&gt;=100%,AF63&lt;=105%),"10",IF(AND(AF63&gt;=106%),"0","0")))))))))))</f>
        <v>10</v>
      </c>
      <c r="AN63" s="163"/>
      <c r="AO63" s="164">
        <f>AH63+AI63+AK63+AL63+AM63</f>
        <v>50</v>
      </c>
      <c r="AP63" s="167">
        <v>50</v>
      </c>
      <c r="AQ63" s="168">
        <f>SUM(H63,L63,Q63,AO63)</f>
        <v>75</v>
      </c>
      <c r="AR63" s="188">
        <f>SUM(AP63,R63,M63,I63)</f>
        <v>75</v>
      </c>
      <c r="AS63" s="183"/>
      <c r="AT63" s="183"/>
      <c r="AU63" s="7"/>
    </row>
    <row r="64" spans="1:47" ht="26.25" customHeight="1" thickBot="1" x14ac:dyDescent="0.5">
      <c r="A64" s="133"/>
      <c r="B64" s="414"/>
      <c r="C64" s="183"/>
      <c r="D64" s="214"/>
      <c r="E64" s="183"/>
      <c r="F64" s="183"/>
      <c r="G64" s="183"/>
      <c r="H64" s="187"/>
      <c r="I64" s="188"/>
      <c r="J64" s="183"/>
      <c r="K64" s="183"/>
      <c r="L64" s="237"/>
      <c r="M64" s="188"/>
      <c r="N64" s="239"/>
      <c r="O64" s="239"/>
      <c r="P64" s="239"/>
      <c r="Q64" s="237"/>
      <c r="R64" s="188"/>
      <c r="S64" s="195"/>
      <c r="T64" s="233"/>
      <c r="U64" s="177"/>
      <c r="V64" s="195"/>
      <c r="W64" s="245"/>
      <c r="X64" s="235"/>
      <c r="Y64" s="183"/>
      <c r="Z64" s="177"/>
      <c r="AA64" s="223"/>
      <c r="AB64" s="223"/>
      <c r="AC64" s="231"/>
      <c r="AD64" s="223"/>
      <c r="AE64" s="226"/>
      <c r="AF64" s="226"/>
      <c r="AG64" s="228"/>
      <c r="AH64" s="175"/>
      <c r="AI64" s="175"/>
      <c r="AJ64" s="161"/>
      <c r="AK64" s="175"/>
      <c r="AL64" s="175"/>
      <c r="AM64" s="175"/>
      <c r="AN64" s="161"/>
      <c r="AO64" s="165"/>
      <c r="AP64" s="167"/>
      <c r="AQ64" s="169"/>
      <c r="AR64" s="188"/>
      <c r="AS64" s="183"/>
      <c r="AT64" s="183"/>
      <c r="AU64" s="7"/>
    </row>
    <row r="65" spans="1:47" ht="26.25" customHeight="1" thickBot="1" x14ac:dyDescent="0.5">
      <c r="A65" s="133"/>
      <c r="B65" s="414"/>
      <c r="C65" s="183"/>
      <c r="D65" s="214"/>
      <c r="E65" s="183"/>
      <c r="F65" s="183"/>
      <c r="G65" s="183"/>
      <c r="H65" s="187"/>
      <c r="I65" s="188"/>
      <c r="J65" s="183"/>
      <c r="K65" s="183"/>
      <c r="L65" s="237"/>
      <c r="M65" s="188"/>
      <c r="N65" s="240"/>
      <c r="O65" s="240"/>
      <c r="P65" s="240"/>
      <c r="Q65" s="237"/>
      <c r="R65" s="188"/>
      <c r="S65" s="195"/>
      <c r="T65" s="233"/>
      <c r="U65" s="177"/>
      <c r="V65" s="195"/>
      <c r="W65" s="246"/>
      <c r="X65" s="236"/>
      <c r="Y65" s="183"/>
      <c r="Z65" s="177"/>
      <c r="AA65" s="224"/>
      <c r="AB65" s="224"/>
      <c r="AC65" s="232"/>
      <c r="AD65" s="224"/>
      <c r="AE65" s="226"/>
      <c r="AF65" s="241"/>
      <c r="AG65" s="243"/>
      <c r="AH65" s="176"/>
      <c r="AI65" s="176"/>
      <c r="AJ65" s="162"/>
      <c r="AK65" s="176"/>
      <c r="AL65" s="176"/>
      <c r="AM65" s="176"/>
      <c r="AN65" s="162"/>
      <c r="AO65" s="166"/>
      <c r="AP65" s="167"/>
      <c r="AQ65" s="170"/>
      <c r="AR65" s="188"/>
      <c r="AS65" s="183"/>
      <c r="AT65" s="183"/>
      <c r="AU65" s="7"/>
    </row>
    <row r="66" spans="1:47" ht="16.899999999999999" customHeight="1" thickBot="1" x14ac:dyDescent="0.5">
      <c r="A66" s="133"/>
      <c r="B66" s="414"/>
      <c r="C66" s="183" t="s">
        <v>90</v>
      </c>
      <c r="D66" s="214" t="s">
        <v>91</v>
      </c>
      <c r="E66" s="183">
        <v>2</v>
      </c>
      <c r="F66" s="183">
        <v>2</v>
      </c>
      <c r="G66" s="183">
        <v>2</v>
      </c>
      <c r="H66" s="187">
        <f>SUM(E66:G68)</f>
        <v>6</v>
      </c>
      <c r="I66" s="188">
        <v>6</v>
      </c>
      <c r="J66" s="183">
        <v>2</v>
      </c>
      <c r="K66" s="183">
        <v>2</v>
      </c>
      <c r="L66" s="237">
        <f>SUM(J66:K68)</f>
        <v>4</v>
      </c>
      <c r="M66" s="188">
        <v>4</v>
      </c>
      <c r="N66" s="238">
        <v>5</v>
      </c>
      <c r="O66" s="238">
        <v>5</v>
      </c>
      <c r="P66" s="238">
        <v>5</v>
      </c>
      <c r="Q66" s="237">
        <f>SUM(N66:P68)</f>
        <v>15</v>
      </c>
      <c r="R66" s="188">
        <v>15</v>
      </c>
      <c r="S66" s="195">
        <v>9</v>
      </c>
      <c r="T66" s="233">
        <v>9</v>
      </c>
      <c r="U66" s="177"/>
      <c r="V66" s="195">
        <v>9</v>
      </c>
      <c r="W66" s="234">
        <v>9</v>
      </c>
      <c r="X66" s="61"/>
      <c r="Y66" s="190">
        <v>9</v>
      </c>
      <c r="Z66" s="177"/>
      <c r="AA66" s="222">
        <f>S66/W66</f>
        <v>1</v>
      </c>
      <c r="AB66" s="222">
        <f>T66/W66</f>
        <v>1</v>
      </c>
      <c r="AC66" s="230"/>
      <c r="AD66" s="222">
        <f>V66/W66</f>
        <v>1</v>
      </c>
      <c r="AE66" s="222">
        <f>Y66/W66</f>
        <v>1</v>
      </c>
      <c r="AF66" s="225">
        <f>Y66/W66</f>
        <v>1</v>
      </c>
      <c r="AG66" s="227"/>
      <c r="AH66" s="211" t="str">
        <f t="shared" ref="AH66:AM66" si="40">IF(AND(AA66&gt;=10%,AA66&lt;=19%),"1",IF(AND(AA66&gt;=20%,AA66&lt;=29%),"2",IF(AND(AA66&gt;=30%,AA66&lt;=39%),"3",IF(AND(AA66&gt;=40%,AA66&lt;=49%),"4",IF(AND(AA66&gt;=50%,AA66&lt;=59%),"5",IF(AND(AA66&gt;=60%,AA66&lt;=69%),"6",IF(AND(AA66&gt;=70%,AA66&lt;=79%),"7",IF(AND(AA66&gt;=80%,AA66&lt;=89%),"8",IF(AND(AA66&gt;=90%,AA66&lt;=99%),"9",IF(AND(AA66&gt;=100%,AA66&lt;=105%),"10",IF(AND(AA66&gt;=106%),"0","0")))))))))))</f>
        <v>10</v>
      </c>
      <c r="AI66" s="211" t="str">
        <f t="shared" si="40"/>
        <v>10</v>
      </c>
      <c r="AJ66" s="163"/>
      <c r="AK66" s="211" t="str">
        <f t="shared" si="40"/>
        <v>10</v>
      </c>
      <c r="AL66" s="211" t="str">
        <f t="shared" si="40"/>
        <v>10</v>
      </c>
      <c r="AM66" s="211" t="str">
        <f t="shared" si="40"/>
        <v>10</v>
      </c>
      <c r="AN66" s="163"/>
      <c r="AO66" s="164">
        <f>AH66+AI66+AK66+AL66+AM66</f>
        <v>50</v>
      </c>
      <c r="AP66" s="167">
        <v>50</v>
      </c>
      <c r="AQ66" s="168">
        <f>SUM(H66,L66,Q66,AO66)</f>
        <v>75</v>
      </c>
      <c r="AR66" s="188">
        <f>SUM(AP66,R66,M66,I66)</f>
        <v>75</v>
      </c>
      <c r="AS66" s="195"/>
      <c r="AT66" s="183"/>
      <c r="AU66" s="7"/>
    </row>
    <row r="67" spans="1:47" ht="17.25" customHeight="1" thickBot="1" x14ac:dyDescent="0.5">
      <c r="A67" s="133"/>
      <c r="B67" s="414"/>
      <c r="C67" s="183"/>
      <c r="D67" s="214"/>
      <c r="E67" s="183"/>
      <c r="F67" s="183"/>
      <c r="G67" s="183"/>
      <c r="H67" s="187"/>
      <c r="I67" s="188"/>
      <c r="J67" s="183"/>
      <c r="K67" s="183"/>
      <c r="L67" s="237"/>
      <c r="M67" s="188"/>
      <c r="N67" s="239"/>
      <c r="O67" s="239"/>
      <c r="P67" s="239"/>
      <c r="Q67" s="237"/>
      <c r="R67" s="188"/>
      <c r="S67" s="195"/>
      <c r="T67" s="233"/>
      <c r="U67" s="177"/>
      <c r="V67" s="195"/>
      <c r="W67" s="235"/>
      <c r="X67" s="61">
        <v>9</v>
      </c>
      <c r="Y67" s="190"/>
      <c r="Z67" s="177"/>
      <c r="AA67" s="223"/>
      <c r="AB67" s="223"/>
      <c r="AC67" s="231"/>
      <c r="AD67" s="223"/>
      <c r="AE67" s="223"/>
      <c r="AF67" s="226"/>
      <c r="AG67" s="228"/>
      <c r="AH67" s="175"/>
      <c r="AI67" s="175"/>
      <c r="AJ67" s="161"/>
      <c r="AK67" s="175"/>
      <c r="AL67" s="175"/>
      <c r="AM67" s="175"/>
      <c r="AN67" s="161"/>
      <c r="AO67" s="165"/>
      <c r="AP67" s="167"/>
      <c r="AQ67" s="169"/>
      <c r="AR67" s="188"/>
      <c r="AS67" s="195"/>
      <c r="AT67" s="183"/>
      <c r="AU67" s="7"/>
    </row>
    <row r="68" spans="1:47" ht="19.899999999999999" customHeight="1" thickBot="1" x14ac:dyDescent="0.5">
      <c r="A68" s="133"/>
      <c r="B68" s="414"/>
      <c r="C68" s="183"/>
      <c r="D68" s="214"/>
      <c r="E68" s="183"/>
      <c r="F68" s="183"/>
      <c r="G68" s="183"/>
      <c r="H68" s="187"/>
      <c r="I68" s="188"/>
      <c r="J68" s="183"/>
      <c r="K68" s="183"/>
      <c r="L68" s="237"/>
      <c r="M68" s="188"/>
      <c r="N68" s="240"/>
      <c r="O68" s="240"/>
      <c r="P68" s="240"/>
      <c r="Q68" s="237"/>
      <c r="R68" s="188"/>
      <c r="S68" s="195"/>
      <c r="T68" s="233"/>
      <c r="U68" s="177"/>
      <c r="V68" s="195"/>
      <c r="W68" s="236"/>
      <c r="X68" s="62"/>
      <c r="Y68" s="191"/>
      <c r="Z68" s="177"/>
      <c r="AA68" s="224"/>
      <c r="AB68" s="224"/>
      <c r="AC68" s="232"/>
      <c r="AD68" s="224"/>
      <c r="AE68" s="224"/>
      <c r="AF68" s="226"/>
      <c r="AG68" s="229"/>
      <c r="AH68" s="176"/>
      <c r="AI68" s="176"/>
      <c r="AJ68" s="162"/>
      <c r="AK68" s="176"/>
      <c r="AL68" s="176"/>
      <c r="AM68" s="176"/>
      <c r="AN68" s="162"/>
      <c r="AO68" s="166"/>
      <c r="AP68" s="167"/>
      <c r="AQ68" s="170"/>
      <c r="AR68" s="188"/>
      <c r="AS68" s="195"/>
      <c r="AT68" s="183"/>
      <c r="AU68" s="7"/>
    </row>
    <row r="69" spans="1:47" ht="26.25" customHeight="1" thickBot="1" x14ac:dyDescent="0.5">
      <c r="A69" s="133"/>
      <c r="B69" s="414"/>
      <c r="C69" s="218" t="s">
        <v>92</v>
      </c>
      <c r="D69" s="63" t="s">
        <v>93</v>
      </c>
      <c r="E69" s="125">
        <v>2</v>
      </c>
      <c r="F69" s="125">
        <v>2</v>
      </c>
      <c r="G69" s="125">
        <v>2</v>
      </c>
      <c r="H69" s="64">
        <f>SUM(E69:G69)</f>
        <v>6</v>
      </c>
      <c r="I69" s="10">
        <v>6</v>
      </c>
      <c r="J69" s="126">
        <v>2</v>
      </c>
      <c r="K69" s="125">
        <v>2</v>
      </c>
      <c r="L69" s="64">
        <f>SUM(J69:K69)</f>
        <v>4</v>
      </c>
      <c r="M69" s="10">
        <v>4</v>
      </c>
      <c r="N69" s="126">
        <v>5</v>
      </c>
      <c r="O69" s="125">
        <v>5</v>
      </c>
      <c r="P69" s="125">
        <v>5</v>
      </c>
      <c r="Q69" s="65">
        <f>SUM(N69:P69)</f>
        <v>15</v>
      </c>
      <c r="R69" s="10">
        <v>15</v>
      </c>
      <c r="S69" s="66">
        <v>9</v>
      </c>
      <c r="T69" s="66">
        <v>11</v>
      </c>
      <c r="U69" s="67"/>
      <c r="V69" s="66">
        <v>11</v>
      </c>
      <c r="W69" s="66">
        <v>11</v>
      </c>
      <c r="X69" s="66">
        <v>11</v>
      </c>
      <c r="Y69" s="68"/>
      <c r="Z69" s="69"/>
      <c r="AA69" s="70">
        <f>S69/W69</f>
        <v>0.81818181818181823</v>
      </c>
      <c r="AB69" s="70">
        <f>T69/W69</f>
        <v>1</v>
      </c>
      <c r="AC69" s="71"/>
      <c r="AD69" s="70">
        <f>V69/W69</f>
        <v>1</v>
      </c>
      <c r="AE69" s="72">
        <f>X69/W69</f>
        <v>1</v>
      </c>
      <c r="AF69" s="73"/>
      <c r="AG69" s="73"/>
      <c r="AH69" s="57" t="str">
        <f t="shared" ref="AH69:AI73" si="41">IF(AND(AA69&gt;=10%,AA69&lt;=19%),"1",IF(AND(AA69&gt;=20%,AA69&lt;=29%),"2",IF(AND(AA69&gt;=30%,AA69&lt;=39%),"3",IF(AND(AA69&gt;=40%,AA69&lt;=49%),"4",IF(AND(AA69&gt;=50%,AA69&lt;=59%),"5",IF(AND(AA69&gt;=60%,AA69&lt;=69%),"6",IF(AND(AA69&gt;=70%,AA69&lt;=79%),"7",IF(AND(AA69&gt;=80%,AA69&lt;=89%),"8",IF(AND(AA69&gt;=90%,AA69&lt;=99%),"9",IF(AND(AA69&gt;=100%,AA69&lt;=105%),"10",IF(AND(AA69&gt;=106%),"0","0")))))))))))</f>
        <v>8</v>
      </c>
      <c r="AI69" s="57" t="str">
        <f t="shared" si="41"/>
        <v>10</v>
      </c>
      <c r="AJ69" s="74"/>
      <c r="AK69" s="57" t="str">
        <f t="shared" ref="AK69:AL73" si="42">IF(AND(AD69&gt;=10%,AD69&lt;=19%),"1",IF(AND(AD69&gt;=20%,AD69&lt;=29%),"2",IF(AND(AD69&gt;=30%,AD69&lt;=39%),"3",IF(AND(AD69&gt;=40%,AD69&lt;=49%),"4",IF(AND(AD69&gt;=50%,AD69&lt;=59%),"5",IF(AND(AD69&gt;=60%,AD69&lt;=69%),"6",IF(AND(AD69&gt;=70%,AD69&lt;=79%),"7",IF(AND(AD69&gt;=80%,AD69&lt;=89%),"8",IF(AND(AD69&gt;=90%,AD69&lt;=99%),"9",IF(AND(AD69&gt;=100%,AD69&lt;=105%),"10",IF(AND(AD69&gt;=106%),"0","0")))))))))))</f>
        <v>10</v>
      </c>
      <c r="AL69" s="57" t="str">
        <f t="shared" si="42"/>
        <v>10</v>
      </c>
      <c r="AM69" s="58"/>
      <c r="AN69" s="75"/>
      <c r="AO69" s="34">
        <f>AH69+AI69+AK69+AL69</f>
        <v>38</v>
      </c>
      <c r="AP69" s="76">
        <v>40</v>
      </c>
      <c r="AQ69" s="60">
        <f>SUM(H69,L69,Q69,AO69)</f>
        <v>63</v>
      </c>
      <c r="AR69" s="77">
        <f>SUM(AP69,R69,M69,I69)</f>
        <v>65</v>
      </c>
      <c r="AS69" s="119"/>
      <c r="AT69" s="120"/>
      <c r="AU69" s="7"/>
    </row>
    <row r="70" spans="1:47" ht="26.25" customHeight="1" thickBot="1" x14ac:dyDescent="0.5">
      <c r="A70" s="133"/>
      <c r="B70" s="414"/>
      <c r="C70" s="219"/>
      <c r="D70" s="78" t="s">
        <v>94</v>
      </c>
      <c r="E70" s="125">
        <v>2</v>
      </c>
      <c r="F70" s="125">
        <v>2</v>
      </c>
      <c r="G70" s="125">
        <v>2</v>
      </c>
      <c r="H70" s="64">
        <f t="shared" ref="H70:H73" si="43">SUM(E70:G70)</f>
        <v>6</v>
      </c>
      <c r="I70" s="10">
        <v>6</v>
      </c>
      <c r="J70" s="126">
        <v>2</v>
      </c>
      <c r="K70" s="125">
        <v>2</v>
      </c>
      <c r="L70" s="64">
        <f>SUM(J70:K70)</f>
        <v>4</v>
      </c>
      <c r="M70" s="10">
        <v>4</v>
      </c>
      <c r="N70" s="126">
        <v>5</v>
      </c>
      <c r="O70" s="125">
        <v>5</v>
      </c>
      <c r="P70" s="125">
        <v>5</v>
      </c>
      <c r="Q70" s="65">
        <f>SUM(N70:P70)</f>
        <v>15</v>
      </c>
      <c r="R70" s="10">
        <v>15</v>
      </c>
      <c r="S70" s="66">
        <v>0</v>
      </c>
      <c r="T70" s="66">
        <v>0</v>
      </c>
      <c r="U70" s="67"/>
      <c r="V70" s="66">
        <v>0</v>
      </c>
      <c r="W70" s="66">
        <v>0</v>
      </c>
      <c r="X70" s="66">
        <v>0</v>
      </c>
      <c r="Y70" s="68"/>
      <c r="Z70" s="68"/>
      <c r="AA70" s="79" t="e">
        <f>S70/W70</f>
        <v>#DIV/0!</v>
      </c>
      <c r="AB70" s="70" t="e">
        <f>T70/W70</f>
        <v>#DIV/0!</v>
      </c>
      <c r="AC70" s="71"/>
      <c r="AD70" s="70" t="e">
        <f>V70/W70</f>
        <v>#DIV/0!</v>
      </c>
      <c r="AE70" s="72" t="e">
        <f>X70/W70</f>
        <v>#DIV/0!</v>
      </c>
      <c r="AF70" s="73"/>
      <c r="AG70" s="73"/>
      <c r="AH70" s="57" t="e">
        <f t="shared" si="41"/>
        <v>#DIV/0!</v>
      </c>
      <c r="AI70" s="57" t="e">
        <f t="shared" si="41"/>
        <v>#DIV/0!</v>
      </c>
      <c r="AJ70" s="74"/>
      <c r="AK70" s="57" t="e">
        <f t="shared" si="42"/>
        <v>#DIV/0!</v>
      </c>
      <c r="AL70" s="57" t="e">
        <f t="shared" si="42"/>
        <v>#DIV/0!</v>
      </c>
      <c r="AM70" s="58"/>
      <c r="AN70" s="75"/>
      <c r="AO70" s="34">
        <v>40</v>
      </c>
      <c r="AP70" s="76">
        <v>40</v>
      </c>
      <c r="AQ70" s="60">
        <f>SUM(H70,L70,Q70,AO70)</f>
        <v>65</v>
      </c>
      <c r="AR70" s="77">
        <f>SUM(AP70,R70,M70,I70)</f>
        <v>65</v>
      </c>
      <c r="AS70" s="119"/>
      <c r="AT70" s="120"/>
      <c r="AU70" s="7"/>
    </row>
    <row r="71" spans="1:47" ht="26.25" customHeight="1" thickBot="1" x14ac:dyDescent="0.5">
      <c r="A71" s="133"/>
      <c r="B71" s="414"/>
      <c r="C71" s="219"/>
      <c r="D71" s="78" t="s">
        <v>95</v>
      </c>
      <c r="E71" s="125">
        <v>2</v>
      </c>
      <c r="F71" s="125">
        <v>2</v>
      </c>
      <c r="G71" s="125">
        <v>2</v>
      </c>
      <c r="H71" s="64">
        <f t="shared" si="43"/>
        <v>6</v>
      </c>
      <c r="I71" s="10">
        <v>6</v>
      </c>
      <c r="J71" s="126">
        <v>2</v>
      </c>
      <c r="K71" s="125">
        <v>2</v>
      </c>
      <c r="L71" s="64">
        <f>SUM(J71:K71)</f>
        <v>4</v>
      </c>
      <c r="M71" s="10">
        <v>4</v>
      </c>
      <c r="N71" s="126">
        <v>5</v>
      </c>
      <c r="O71" s="125">
        <v>5</v>
      </c>
      <c r="P71" s="125">
        <v>5</v>
      </c>
      <c r="Q71" s="65">
        <f>SUM(N71:P71)</f>
        <v>15</v>
      </c>
      <c r="R71" s="10">
        <v>15</v>
      </c>
      <c r="S71" s="66">
        <v>17</v>
      </c>
      <c r="T71" s="66">
        <v>17</v>
      </c>
      <c r="U71" s="67"/>
      <c r="V71" s="66">
        <v>17</v>
      </c>
      <c r="W71" s="66">
        <v>17</v>
      </c>
      <c r="X71" s="66">
        <v>5</v>
      </c>
      <c r="Y71" s="68"/>
      <c r="Z71" s="68"/>
      <c r="AA71" s="79">
        <f>S71/W71</f>
        <v>1</v>
      </c>
      <c r="AB71" s="70">
        <f>T71/W71</f>
        <v>1</v>
      </c>
      <c r="AC71" s="71"/>
      <c r="AD71" s="70">
        <f>V71/W71</f>
        <v>1</v>
      </c>
      <c r="AE71" s="72">
        <f>X71/W71</f>
        <v>0.29411764705882354</v>
      </c>
      <c r="AF71" s="73"/>
      <c r="AG71" s="73"/>
      <c r="AH71" s="57" t="str">
        <f t="shared" si="41"/>
        <v>10</v>
      </c>
      <c r="AI71" s="57" t="str">
        <f t="shared" si="41"/>
        <v>10</v>
      </c>
      <c r="AJ71" s="74"/>
      <c r="AK71" s="57" t="str">
        <f t="shared" si="42"/>
        <v>10</v>
      </c>
      <c r="AL71" s="57" t="str">
        <f t="shared" si="42"/>
        <v>0</v>
      </c>
      <c r="AM71" s="58"/>
      <c r="AN71" s="75"/>
      <c r="AO71" s="34">
        <f>AH71+AI71+AK71+AL71</f>
        <v>30</v>
      </c>
      <c r="AP71" s="76">
        <v>40</v>
      </c>
      <c r="AQ71" s="60">
        <f>SUM(H71,L71,Q71,AO71)</f>
        <v>55</v>
      </c>
      <c r="AR71" s="77">
        <f t="shared" ref="AR71:AR73" si="44">SUM(AP71,R71,M71,I71)</f>
        <v>65</v>
      </c>
      <c r="AS71" s="119"/>
      <c r="AT71" s="120"/>
      <c r="AU71" s="7"/>
    </row>
    <row r="72" spans="1:47" ht="26.25" customHeight="1" thickBot="1" x14ac:dyDescent="0.5">
      <c r="A72" s="133"/>
      <c r="B72" s="414"/>
      <c r="C72" s="219"/>
      <c r="D72" s="78" t="s">
        <v>96</v>
      </c>
      <c r="E72" s="125">
        <v>2</v>
      </c>
      <c r="F72" s="125">
        <v>2</v>
      </c>
      <c r="G72" s="125">
        <v>2</v>
      </c>
      <c r="H72" s="64">
        <f t="shared" si="43"/>
        <v>6</v>
      </c>
      <c r="I72" s="10">
        <v>6</v>
      </c>
      <c r="J72" s="126">
        <v>2</v>
      </c>
      <c r="K72" s="125">
        <v>2</v>
      </c>
      <c r="L72" s="64">
        <f>SUM(J72:K72)</f>
        <v>4</v>
      </c>
      <c r="M72" s="10">
        <v>4</v>
      </c>
      <c r="N72" s="126">
        <v>5</v>
      </c>
      <c r="O72" s="125">
        <v>5</v>
      </c>
      <c r="P72" s="125">
        <v>5</v>
      </c>
      <c r="Q72" s="65">
        <f>SUM(N72:P72)</f>
        <v>15</v>
      </c>
      <c r="R72" s="10">
        <v>15</v>
      </c>
      <c r="S72" s="66">
        <v>0</v>
      </c>
      <c r="T72" s="66">
        <v>0</v>
      </c>
      <c r="U72" s="67"/>
      <c r="V72" s="66">
        <v>0</v>
      </c>
      <c r="W72" s="66">
        <v>0</v>
      </c>
      <c r="X72" s="66">
        <v>0</v>
      </c>
      <c r="Y72" s="68"/>
      <c r="Z72" s="68"/>
      <c r="AA72" s="79" t="e">
        <f>S72/W72</f>
        <v>#DIV/0!</v>
      </c>
      <c r="AB72" s="70" t="e">
        <f>T72/W72</f>
        <v>#DIV/0!</v>
      </c>
      <c r="AC72" s="71"/>
      <c r="AD72" s="70" t="e">
        <f>V72/W72</f>
        <v>#DIV/0!</v>
      </c>
      <c r="AE72" s="72" t="e">
        <f>X72/W72</f>
        <v>#DIV/0!</v>
      </c>
      <c r="AF72" s="73"/>
      <c r="AG72" s="73"/>
      <c r="AH72" s="57" t="e">
        <f t="shared" si="41"/>
        <v>#DIV/0!</v>
      </c>
      <c r="AI72" s="57" t="e">
        <f t="shared" si="41"/>
        <v>#DIV/0!</v>
      </c>
      <c r="AJ72" s="74"/>
      <c r="AK72" s="57" t="e">
        <f t="shared" si="42"/>
        <v>#DIV/0!</v>
      </c>
      <c r="AL72" s="57" t="e">
        <f t="shared" si="42"/>
        <v>#DIV/0!</v>
      </c>
      <c r="AM72" s="58"/>
      <c r="AN72" s="75"/>
      <c r="AO72" s="34">
        <v>40</v>
      </c>
      <c r="AP72" s="76">
        <v>40</v>
      </c>
      <c r="AQ72" s="60">
        <f>SUM(H72,L72,Q72,AO72)</f>
        <v>65</v>
      </c>
      <c r="AR72" s="77">
        <f t="shared" si="44"/>
        <v>65</v>
      </c>
      <c r="AS72" s="119"/>
      <c r="AT72" s="120"/>
      <c r="AU72" s="7"/>
    </row>
    <row r="73" spans="1:47" ht="26.25" customHeight="1" thickBot="1" x14ac:dyDescent="0.5">
      <c r="A73" s="133"/>
      <c r="B73" s="414"/>
      <c r="C73" s="220"/>
      <c r="D73" s="80" t="s">
        <v>97</v>
      </c>
      <c r="E73" s="125">
        <v>2</v>
      </c>
      <c r="F73" s="125">
        <v>2</v>
      </c>
      <c r="G73" s="125">
        <v>2</v>
      </c>
      <c r="H73" s="64">
        <f t="shared" si="43"/>
        <v>6</v>
      </c>
      <c r="I73" s="10">
        <v>6</v>
      </c>
      <c r="J73" s="126">
        <v>2</v>
      </c>
      <c r="K73" s="125">
        <v>2</v>
      </c>
      <c r="L73" s="64">
        <f>SUM(J73:K73)</f>
        <v>4</v>
      </c>
      <c r="M73" s="10">
        <v>4</v>
      </c>
      <c r="N73" s="126">
        <v>5</v>
      </c>
      <c r="O73" s="125">
        <v>5</v>
      </c>
      <c r="P73" s="125">
        <v>5</v>
      </c>
      <c r="Q73" s="65">
        <f>SUM(N73:P73)</f>
        <v>15</v>
      </c>
      <c r="R73" s="10">
        <v>15</v>
      </c>
      <c r="S73" s="66">
        <v>10</v>
      </c>
      <c r="T73" s="66">
        <v>10</v>
      </c>
      <c r="U73" s="67"/>
      <c r="V73" s="66">
        <v>10</v>
      </c>
      <c r="W73" s="66">
        <v>10</v>
      </c>
      <c r="X73" s="66">
        <v>6</v>
      </c>
      <c r="Y73" s="68"/>
      <c r="Z73" s="68"/>
      <c r="AA73" s="79">
        <f>S73/W73</f>
        <v>1</v>
      </c>
      <c r="AB73" s="70">
        <f>T73/W73</f>
        <v>1</v>
      </c>
      <c r="AC73" s="71"/>
      <c r="AD73" s="70">
        <f>V73/W73</f>
        <v>1</v>
      </c>
      <c r="AE73" s="72">
        <f>X73/W73</f>
        <v>0.6</v>
      </c>
      <c r="AF73" s="73"/>
      <c r="AG73" s="73"/>
      <c r="AH73" s="57" t="str">
        <f t="shared" si="41"/>
        <v>10</v>
      </c>
      <c r="AI73" s="57" t="str">
        <f t="shared" si="41"/>
        <v>10</v>
      </c>
      <c r="AJ73" s="74"/>
      <c r="AK73" s="57" t="str">
        <f t="shared" si="42"/>
        <v>10</v>
      </c>
      <c r="AL73" s="57" t="str">
        <f t="shared" si="42"/>
        <v>6</v>
      </c>
      <c r="AM73" s="58"/>
      <c r="AN73" s="58"/>
      <c r="AO73" s="34">
        <f>AH73+AI73+AK73+AL73</f>
        <v>36</v>
      </c>
      <c r="AP73" s="76">
        <v>40</v>
      </c>
      <c r="AQ73" s="60">
        <f>SUM(H73,L73,Q73,AO73)</f>
        <v>61</v>
      </c>
      <c r="AR73" s="77">
        <f t="shared" si="44"/>
        <v>65</v>
      </c>
      <c r="AS73" s="119"/>
      <c r="AT73" s="120"/>
      <c r="AU73" s="7"/>
    </row>
    <row r="74" spans="1:47" s="2" customFormat="1" ht="63.75" customHeight="1" thickBot="1" x14ac:dyDescent="0.5">
      <c r="A74" s="139"/>
      <c r="B74" s="414"/>
      <c r="C74" s="81"/>
      <c r="D74" s="82"/>
      <c r="E74" s="83"/>
      <c r="F74" s="83"/>
      <c r="G74" s="83"/>
      <c r="H74" s="39">
        <f>SUM(H62:H73)</f>
        <v>48</v>
      </c>
      <c r="I74" s="39">
        <f>SUM(I62:I73)</f>
        <v>48</v>
      </c>
      <c r="J74" s="127"/>
      <c r="K74" s="128"/>
      <c r="L74" s="39">
        <f>SUM(L62:L73)</f>
        <v>32</v>
      </c>
      <c r="M74" s="39">
        <f>SUM(M62:M73)</f>
        <v>32</v>
      </c>
      <c r="N74" s="84"/>
      <c r="O74" s="85"/>
      <c r="P74" s="86"/>
      <c r="Q74" s="39">
        <f>SUM(Q62:Q73)</f>
        <v>120</v>
      </c>
      <c r="R74" s="39">
        <f>SUM(R62:R73)</f>
        <v>120</v>
      </c>
      <c r="S74" s="221"/>
      <c r="T74" s="221"/>
      <c r="U74" s="221"/>
      <c r="V74" s="221"/>
      <c r="W74" s="221"/>
      <c r="X74" s="221"/>
      <c r="Y74" s="221"/>
      <c r="Z74" s="221"/>
      <c r="AA74" s="221"/>
      <c r="AB74" s="221"/>
      <c r="AC74" s="221"/>
      <c r="AD74" s="221"/>
      <c r="AE74" s="221"/>
      <c r="AF74" s="221"/>
      <c r="AG74" s="221"/>
      <c r="AH74" s="221"/>
      <c r="AI74" s="221"/>
      <c r="AJ74" s="221"/>
      <c r="AK74" s="221"/>
      <c r="AL74" s="221"/>
      <c r="AM74" s="221"/>
      <c r="AN74" s="87"/>
      <c r="AO74" s="39">
        <f>SUM(AO62:AO73)</f>
        <v>329</v>
      </c>
      <c r="AP74" s="130">
        <f>SUM(AP62:AP73)</f>
        <v>350</v>
      </c>
      <c r="AQ74" s="51">
        <f>SUM(AQ62:AQ73)</f>
        <v>529</v>
      </c>
      <c r="AR74" s="39">
        <f>SUM(AR62:AR73)</f>
        <v>550</v>
      </c>
      <c r="AS74" s="52"/>
      <c r="AT74" s="53"/>
      <c r="AU74" s="7"/>
    </row>
    <row r="75" spans="1:47" ht="32.65" customHeight="1" thickBot="1" x14ac:dyDescent="0.5">
      <c r="A75" s="133"/>
      <c r="B75" s="414"/>
      <c r="C75" s="183" t="s">
        <v>98</v>
      </c>
      <c r="D75" s="214" t="s">
        <v>99</v>
      </c>
      <c r="E75" s="183">
        <v>2</v>
      </c>
      <c r="F75" s="183">
        <v>2</v>
      </c>
      <c r="G75" s="183">
        <v>2</v>
      </c>
      <c r="H75" s="187">
        <f>SUM(E75:G77)</f>
        <v>6</v>
      </c>
      <c r="I75" s="188">
        <v>6</v>
      </c>
      <c r="J75" s="183">
        <v>2</v>
      </c>
      <c r="K75" s="183">
        <v>2</v>
      </c>
      <c r="L75" s="187">
        <f>SUM(J75:K77)</f>
        <v>4</v>
      </c>
      <c r="M75" s="188">
        <v>4</v>
      </c>
      <c r="N75" s="183">
        <v>5</v>
      </c>
      <c r="O75" s="183">
        <v>5</v>
      </c>
      <c r="P75" s="183">
        <v>5</v>
      </c>
      <c r="Q75" s="187">
        <f>SUM(N75:P77)</f>
        <v>15</v>
      </c>
      <c r="R75" s="188">
        <v>15</v>
      </c>
      <c r="S75" s="183">
        <v>2129</v>
      </c>
      <c r="T75" s="183">
        <v>2129</v>
      </c>
      <c r="U75" s="177"/>
      <c r="V75" s="183">
        <v>2140</v>
      </c>
      <c r="W75" s="183">
        <v>2129</v>
      </c>
      <c r="X75" s="189">
        <v>2223</v>
      </c>
      <c r="Y75" s="177"/>
      <c r="Z75" s="177"/>
      <c r="AA75" s="216">
        <f>S75/W75</f>
        <v>1</v>
      </c>
      <c r="AB75" s="216">
        <f>T75/W75</f>
        <v>1</v>
      </c>
      <c r="AC75" s="217"/>
      <c r="AD75" s="216">
        <f>V75/W75</f>
        <v>1.0051667449506811</v>
      </c>
      <c r="AE75" s="210">
        <f>X75/W75</f>
        <v>1.0441521841240018</v>
      </c>
      <c r="AF75" s="171"/>
      <c r="AG75" s="172"/>
      <c r="AH75" s="211" t="str">
        <f>IF(AND(AA75&gt;=10%,AA75&lt;=19%),"1",IF(AND(AA75&gt;=20%,AA75&lt;=29%),"2",IF(AND(AA75&gt;=30%,AA75&lt;=39%),"3",IF(AND(AA75&gt;=40%,AA75&lt;=49%),"4",IF(AND(AA75&gt;=50%,AA75&lt;=59%),"5",IF(AND(AA75&gt;=60%,AA75&lt;=69%),"6",IF(AND(AA75&gt;=70%,AA75&lt;=79%),"7",IF(AND(AA75&gt;=80%,AA75&lt;=89%),"8",IF(AND(AA75&gt;=90%,AA75&lt;=99%),"9",IF(AND(AA75&gt;=100%,AA75&lt;=105%),"10",IF(AND(AA75&gt;=106%),"0","0")))))))))))</f>
        <v>10</v>
      </c>
      <c r="AI75" s="211" t="str">
        <f>IF(AND(AB75&gt;=10%,AB75&lt;=19%),"1",IF(AND(AB75&gt;=20%,AB75&lt;=29%),"2",IF(AND(AB75&gt;=30%,AB75&lt;=39%),"3",IF(AND(AB75&gt;=40%,AB75&lt;=49%),"4",IF(AND(AB75&gt;=50%,AB75&lt;=59%),"5",IF(AND(AB75&gt;=60%,AB75&lt;=69%),"6",IF(AND(AB75&gt;=70%,AB75&lt;=79%),"7",IF(AND(AB75&gt;=80%,AB75&lt;=89%),"8",IF(AND(AB75&gt;=90%,AB75&lt;=99%),"9",IF(AND(AB75&gt;=100%,AB75&lt;=105%),"10",IF(AND(AB75&gt;=106%),"0","0")))))))))))</f>
        <v>10</v>
      </c>
      <c r="AJ75" s="215"/>
      <c r="AK75" s="211" t="str">
        <f>IF(AND(AD75&gt;=10%,AD75&lt;=19%),"1",IF(AND(AD75&gt;=20%,AD75&lt;=29%),"2",IF(AND(AD75&gt;=30%,AD75&lt;=39%),"3",IF(AND(AD75&gt;=40%,AD75&lt;=49%),"4",IF(AND(AD75&gt;=50%,AD75&lt;=59%),"5",IF(AND(AD75&gt;=60%,AD75&lt;=69%),"6",IF(AND(AD75&gt;=70%,AD75&lt;=79%),"7",IF(AND(AD75&gt;=80%,AD75&lt;=89%),"8",IF(AND(AD75&gt;=90%,AD75&lt;=99%),"9",IF(AND(AD75&gt;=100%,AD75&lt;=105%),"10",IF(AND(AD75&gt;=106%),"0","0")))))))))))</f>
        <v>10</v>
      </c>
      <c r="AL75" s="211" t="str">
        <f>IF(AND(AE75&gt;=10%,AE75&lt;=19%),"1",IF(AND(AE75&gt;=20%,AE75&lt;=29%),"2",IF(AND(AE75&gt;=30%,AE75&lt;=39%),"3",IF(AND(AE75&gt;=40%,AE75&lt;=49%),"4",IF(AND(AE75&gt;=50%,AE75&lt;=59%),"5",IF(AND(AE75&gt;=60%,AE75&lt;=69%),"6",IF(AND(AE75&gt;=70%,AE75&lt;=79%),"7",IF(AND(AE75&gt;=80%,AE75&lt;=89%),"8",IF(AND(AE75&gt;=90%,AE75&lt;=99%),"9",IF(AND(AE75&gt;=100%,AE75&lt;=105%),"10",IF(AND(AE75&gt;=106%),"0","0")))))))))))</f>
        <v>10</v>
      </c>
      <c r="AM75" s="163"/>
      <c r="AN75" s="163"/>
      <c r="AO75" s="164">
        <f>AH75+AI75+AK75+AL75</f>
        <v>40</v>
      </c>
      <c r="AP75" s="167">
        <v>40</v>
      </c>
      <c r="AQ75" s="168">
        <f>SUM(H75,L75,Q75,AO75)</f>
        <v>65</v>
      </c>
      <c r="AR75" s="188">
        <f>SUM(AP75,R75,M75,I75)</f>
        <v>65</v>
      </c>
      <c r="AS75" s="195"/>
      <c r="AT75" s="183"/>
      <c r="AU75" s="7"/>
    </row>
    <row r="76" spans="1:47" ht="22.5" customHeight="1" thickBot="1" x14ac:dyDescent="0.5">
      <c r="A76" s="133"/>
      <c r="B76" s="414"/>
      <c r="C76" s="183"/>
      <c r="D76" s="214"/>
      <c r="E76" s="183"/>
      <c r="F76" s="183"/>
      <c r="G76" s="183"/>
      <c r="H76" s="187"/>
      <c r="I76" s="188"/>
      <c r="J76" s="183"/>
      <c r="K76" s="183"/>
      <c r="L76" s="187"/>
      <c r="M76" s="188"/>
      <c r="N76" s="183"/>
      <c r="O76" s="183"/>
      <c r="P76" s="183"/>
      <c r="Q76" s="187"/>
      <c r="R76" s="188"/>
      <c r="S76" s="183"/>
      <c r="T76" s="183"/>
      <c r="U76" s="177"/>
      <c r="V76" s="183"/>
      <c r="W76" s="183"/>
      <c r="X76" s="190"/>
      <c r="Y76" s="177"/>
      <c r="Z76" s="177"/>
      <c r="AA76" s="178"/>
      <c r="AB76" s="178"/>
      <c r="AC76" s="205"/>
      <c r="AD76" s="178"/>
      <c r="AE76" s="210"/>
      <c r="AF76" s="171"/>
      <c r="AG76" s="173"/>
      <c r="AH76" s="175"/>
      <c r="AI76" s="175"/>
      <c r="AJ76" s="203"/>
      <c r="AK76" s="175"/>
      <c r="AL76" s="175"/>
      <c r="AM76" s="161"/>
      <c r="AN76" s="161"/>
      <c r="AO76" s="165"/>
      <c r="AP76" s="167"/>
      <c r="AQ76" s="169"/>
      <c r="AR76" s="188"/>
      <c r="AS76" s="195"/>
      <c r="AT76" s="183"/>
      <c r="AU76" s="7"/>
    </row>
    <row r="77" spans="1:47" ht="33.4" customHeight="1" thickBot="1" x14ac:dyDescent="0.5">
      <c r="A77" s="133"/>
      <c r="B77" s="140"/>
      <c r="C77" s="183"/>
      <c r="D77" s="214"/>
      <c r="E77" s="183"/>
      <c r="F77" s="183"/>
      <c r="G77" s="183"/>
      <c r="H77" s="187"/>
      <c r="I77" s="188"/>
      <c r="J77" s="183"/>
      <c r="K77" s="183"/>
      <c r="L77" s="187"/>
      <c r="M77" s="188"/>
      <c r="N77" s="183"/>
      <c r="O77" s="183"/>
      <c r="P77" s="183"/>
      <c r="Q77" s="187"/>
      <c r="R77" s="188"/>
      <c r="S77" s="183"/>
      <c r="T77" s="183"/>
      <c r="U77" s="177"/>
      <c r="V77" s="183"/>
      <c r="W77" s="183"/>
      <c r="X77" s="191"/>
      <c r="Y77" s="177"/>
      <c r="Z77" s="177"/>
      <c r="AA77" s="179"/>
      <c r="AB77" s="179"/>
      <c r="AC77" s="206"/>
      <c r="AD77" s="179"/>
      <c r="AE77" s="210"/>
      <c r="AF77" s="171"/>
      <c r="AG77" s="174"/>
      <c r="AH77" s="176"/>
      <c r="AI77" s="176"/>
      <c r="AJ77" s="204"/>
      <c r="AK77" s="176"/>
      <c r="AL77" s="176"/>
      <c r="AM77" s="162"/>
      <c r="AN77" s="162"/>
      <c r="AO77" s="166"/>
      <c r="AP77" s="167"/>
      <c r="AQ77" s="170"/>
      <c r="AR77" s="188"/>
      <c r="AS77" s="195"/>
      <c r="AT77" s="183"/>
      <c r="AU77" s="213"/>
    </row>
    <row r="78" spans="1:47" ht="17.25" customHeight="1" thickBot="1" x14ac:dyDescent="0.5">
      <c r="A78" s="133"/>
      <c r="B78" s="140"/>
      <c r="C78" s="183" t="s">
        <v>100</v>
      </c>
      <c r="D78" s="214" t="s">
        <v>101</v>
      </c>
      <c r="E78" s="183">
        <v>2</v>
      </c>
      <c r="F78" s="183">
        <v>2</v>
      </c>
      <c r="G78" s="183">
        <v>2</v>
      </c>
      <c r="H78" s="187">
        <f t="shared" ref="H78" si="45">SUM(E78:G80)</f>
        <v>6</v>
      </c>
      <c r="I78" s="188">
        <v>6</v>
      </c>
      <c r="J78" s="183">
        <v>2</v>
      </c>
      <c r="K78" s="183">
        <v>2</v>
      </c>
      <c r="L78" s="187">
        <f>SUM(J78:K80)</f>
        <v>4</v>
      </c>
      <c r="M78" s="188">
        <v>4</v>
      </c>
      <c r="N78" s="212">
        <v>5</v>
      </c>
      <c r="O78" s="212">
        <v>5</v>
      </c>
      <c r="P78" s="212">
        <v>5</v>
      </c>
      <c r="Q78" s="187">
        <f>SUM(N78:P80)</f>
        <v>15</v>
      </c>
      <c r="R78" s="188">
        <v>15</v>
      </c>
      <c r="S78" s="183">
        <v>2172</v>
      </c>
      <c r="T78" s="183">
        <v>2172</v>
      </c>
      <c r="U78" s="177"/>
      <c r="V78" s="183">
        <v>2185</v>
      </c>
      <c r="W78" s="183">
        <v>2172</v>
      </c>
      <c r="X78" s="189">
        <v>2171</v>
      </c>
      <c r="Y78" s="177"/>
      <c r="Z78" s="177"/>
      <c r="AA78" s="178">
        <f>S78/W78</f>
        <v>1</v>
      </c>
      <c r="AB78" s="178">
        <f>T78/W78</f>
        <v>1</v>
      </c>
      <c r="AC78" s="205"/>
      <c r="AD78" s="178">
        <f>V78/W78</f>
        <v>1.0059852670349907</v>
      </c>
      <c r="AE78" s="210">
        <f>X78/W78</f>
        <v>0.99953959484346222</v>
      </c>
      <c r="AF78" s="171"/>
      <c r="AG78" s="172"/>
      <c r="AH78" s="175" t="str">
        <f t="shared" ref="AH78:AL78" si="46">IF(AND(AA78&gt;=10%,AA78&lt;=19%),"1",IF(AND(AA78&gt;=20%,AA78&lt;=29%),"2",IF(AND(AA78&gt;=30%,AA78&lt;=39%),"3",IF(AND(AA78&gt;=40%,AA78&lt;=49%),"4",IF(AND(AA78&gt;=50%,AA78&lt;=59%),"5",IF(AND(AA78&gt;=60%,AA78&lt;=69%),"6",IF(AND(AA78&gt;=70%,AA78&lt;=79%),"7",IF(AND(AA78&gt;=80%,AA78&lt;=89%),"8",IF(AND(AA78&gt;=90%,AA78&lt;=99%),"9",IF(AND(AA78&gt;=100%,AA78&lt;=105%),"10",IF(AND(AA78&gt;=106%),"0","0")))))))))))</f>
        <v>10</v>
      </c>
      <c r="AI78" s="175" t="str">
        <f t="shared" si="46"/>
        <v>10</v>
      </c>
      <c r="AJ78" s="203"/>
      <c r="AK78" s="175" t="str">
        <f t="shared" si="46"/>
        <v>10</v>
      </c>
      <c r="AL78" s="211" t="str">
        <f t="shared" si="46"/>
        <v>0</v>
      </c>
      <c r="AM78" s="161"/>
      <c r="AN78" s="163"/>
      <c r="AO78" s="164">
        <f>AH78+AI78+AK78+AL78</f>
        <v>30</v>
      </c>
      <c r="AP78" s="167">
        <v>40</v>
      </c>
      <c r="AQ78" s="168">
        <f>SUM(H78,L78,Q78,AO78)</f>
        <v>55</v>
      </c>
      <c r="AR78" s="188">
        <f t="shared" ref="AR78" si="47">SUM(AP78,R78,M78,I78)</f>
        <v>65</v>
      </c>
      <c r="AS78" s="195"/>
      <c r="AT78" s="183"/>
      <c r="AU78" s="213"/>
    </row>
    <row r="79" spans="1:47" ht="17.25" customHeight="1" thickBot="1" x14ac:dyDescent="0.5">
      <c r="A79" s="133"/>
      <c r="B79" s="140"/>
      <c r="C79" s="183"/>
      <c r="D79" s="214"/>
      <c r="E79" s="183"/>
      <c r="F79" s="183"/>
      <c r="G79" s="183"/>
      <c r="H79" s="187"/>
      <c r="I79" s="188"/>
      <c r="J79" s="183"/>
      <c r="K79" s="183"/>
      <c r="L79" s="187"/>
      <c r="M79" s="188"/>
      <c r="N79" s="212"/>
      <c r="O79" s="212"/>
      <c r="P79" s="212"/>
      <c r="Q79" s="187"/>
      <c r="R79" s="188"/>
      <c r="S79" s="183"/>
      <c r="T79" s="183"/>
      <c r="U79" s="177"/>
      <c r="V79" s="183"/>
      <c r="W79" s="183"/>
      <c r="X79" s="190"/>
      <c r="Y79" s="177"/>
      <c r="Z79" s="177"/>
      <c r="AA79" s="178"/>
      <c r="AB79" s="178"/>
      <c r="AC79" s="205"/>
      <c r="AD79" s="178"/>
      <c r="AE79" s="210"/>
      <c r="AF79" s="171"/>
      <c r="AG79" s="173"/>
      <c r="AH79" s="175"/>
      <c r="AI79" s="175"/>
      <c r="AJ79" s="203"/>
      <c r="AK79" s="175"/>
      <c r="AL79" s="175"/>
      <c r="AM79" s="161"/>
      <c r="AN79" s="161"/>
      <c r="AO79" s="165"/>
      <c r="AP79" s="167"/>
      <c r="AQ79" s="169"/>
      <c r="AR79" s="188"/>
      <c r="AS79" s="195"/>
      <c r="AT79" s="183"/>
      <c r="AU79" s="213"/>
    </row>
    <row r="80" spans="1:47" ht="55.9" customHeight="1" thickBot="1" x14ac:dyDescent="0.5">
      <c r="A80" s="133"/>
      <c r="B80" s="140"/>
      <c r="C80" s="183"/>
      <c r="D80" s="214"/>
      <c r="E80" s="183"/>
      <c r="F80" s="183"/>
      <c r="G80" s="183"/>
      <c r="H80" s="187"/>
      <c r="I80" s="188"/>
      <c r="J80" s="183"/>
      <c r="K80" s="183"/>
      <c r="L80" s="187"/>
      <c r="M80" s="188"/>
      <c r="N80" s="212"/>
      <c r="O80" s="212"/>
      <c r="P80" s="212"/>
      <c r="Q80" s="187"/>
      <c r="R80" s="188"/>
      <c r="S80" s="183"/>
      <c r="T80" s="183"/>
      <c r="U80" s="177"/>
      <c r="V80" s="183"/>
      <c r="W80" s="183"/>
      <c r="X80" s="191"/>
      <c r="Y80" s="177"/>
      <c r="Z80" s="177"/>
      <c r="AA80" s="179"/>
      <c r="AB80" s="179"/>
      <c r="AC80" s="206"/>
      <c r="AD80" s="179"/>
      <c r="AE80" s="210"/>
      <c r="AF80" s="171"/>
      <c r="AG80" s="174"/>
      <c r="AH80" s="176"/>
      <c r="AI80" s="176"/>
      <c r="AJ80" s="204"/>
      <c r="AK80" s="176"/>
      <c r="AL80" s="176"/>
      <c r="AM80" s="162"/>
      <c r="AN80" s="162"/>
      <c r="AO80" s="166"/>
      <c r="AP80" s="167"/>
      <c r="AQ80" s="170"/>
      <c r="AR80" s="188"/>
      <c r="AS80" s="195"/>
      <c r="AT80" s="183"/>
      <c r="AU80" s="213"/>
    </row>
    <row r="81" spans="1:47" ht="17.25" hidden="1" customHeight="1" thickBot="1" x14ac:dyDescent="0.5">
      <c r="A81" s="133"/>
      <c r="B81" s="140"/>
      <c r="C81" s="189" t="s">
        <v>102</v>
      </c>
      <c r="D81" s="192" t="s">
        <v>103</v>
      </c>
      <c r="E81" s="183"/>
      <c r="F81" s="183"/>
      <c r="G81" s="183"/>
      <c r="H81" s="187">
        <f t="shared" ref="H81" si="48">SUM(E81:G83)</f>
        <v>0</v>
      </c>
      <c r="I81" s="188">
        <v>6</v>
      </c>
      <c r="J81" s="183"/>
      <c r="K81" s="183"/>
      <c r="L81" s="187">
        <f>SUM(J81:K83)</f>
        <v>0</v>
      </c>
      <c r="M81" s="188">
        <v>4</v>
      </c>
      <c r="N81" s="183"/>
      <c r="O81" s="183"/>
      <c r="P81" s="183"/>
      <c r="Q81" s="187">
        <f>SUM(N81:P83)</f>
        <v>0</v>
      </c>
      <c r="R81" s="188">
        <v>15</v>
      </c>
      <c r="S81" s="183"/>
      <c r="T81" s="183"/>
      <c r="U81" s="177"/>
      <c r="V81" s="183"/>
      <c r="W81" s="183"/>
      <c r="X81" s="189"/>
      <c r="Y81" s="177"/>
      <c r="Z81" s="177"/>
      <c r="AA81" s="178" t="e">
        <f>S81/W81</f>
        <v>#DIV/0!</v>
      </c>
      <c r="AB81" s="178" t="e">
        <f>T81/W81</f>
        <v>#DIV/0!</v>
      </c>
      <c r="AC81" s="205"/>
      <c r="AD81" s="178" t="e">
        <f>V81/W81</f>
        <v>#DIV/0!</v>
      </c>
      <c r="AE81" s="210" t="e">
        <f>X81/W81</f>
        <v>#DIV/0!</v>
      </c>
      <c r="AF81" s="171"/>
      <c r="AG81" s="172"/>
      <c r="AH81" s="175" t="e">
        <f t="shared" ref="AH81:AL81" si="49">IF(AND(AA81&gt;=10%,AA81&lt;=19%),"1",IF(AND(AA81&gt;=20%,AA81&lt;=29%),"2",IF(AND(AA81&gt;=30%,AA81&lt;=39%),"3",IF(AND(AA81&gt;=40%,AA81&lt;=49%),"4",IF(AND(AA81&gt;=50%,AA81&lt;=59%),"5",IF(AND(AA81&gt;=60%,AA81&lt;=69%),"6",IF(AND(AA81&gt;=70%,AA81&lt;=79%),"7",IF(AND(AA81&gt;=80%,AA81&lt;=89%),"8",IF(AND(AA81&gt;=90%,AA81&lt;=99%),"9",IF(AND(AA81&gt;=100%,AA81&lt;=105%),"10",IF(AND(AA81&gt;=106%),"0","0")))))))))))</f>
        <v>#DIV/0!</v>
      </c>
      <c r="AI81" s="175" t="e">
        <f t="shared" si="49"/>
        <v>#DIV/0!</v>
      </c>
      <c r="AJ81" s="203"/>
      <c r="AK81" s="175" t="e">
        <f t="shared" si="49"/>
        <v>#DIV/0!</v>
      </c>
      <c r="AL81" s="175" t="e">
        <f t="shared" si="49"/>
        <v>#DIV/0!</v>
      </c>
      <c r="AM81" s="161"/>
      <c r="AN81" s="163"/>
      <c r="AO81" s="164" t="e">
        <f t="shared" ref="AO81" si="50">AH81+AI81+AK81+AL81</f>
        <v>#DIV/0!</v>
      </c>
      <c r="AP81" s="167">
        <v>40</v>
      </c>
      <c r="AQ81" s="168" t="e">
        <f>SUM(H81,L81,Q81,AO81)</f>
        <v>#DIV/0!</v>
      </c>
      <c r="AR81" s="188">
        <f t="shared" ref="AR81" si="51">SUM(AP81,R81,M81,I81)</f>
        <v>65</v>
      </c>
      <c r="AS81" s="195"/>
      <c r="AT81" s="183"/>
      <c r="AU81" s="213"/>
    </row>
    <row r="82" spans="1:47" ht="17.25" hidden="1" customHeight="1" thickBot="1" x14ac:dyDescent="0.5">
      <c r="A82" s="133"/>
      <c r="B82" s="140"/>
      <c r="C82" s="190"/>
      <c r="D82" s="193"/>
      <c r="E82" s="183"/>
      <c r="F82" s="183"/>
      <c r="G82" s="183"/>
      <c r="H82" s="187"/>
      <c r="I82" s="188"/>
      <c r="J82" s="183"/>
      <c r="K82" s="183"/>
      <c r="L82" s="187"/>
      <c r="M82" s="188"/>
      <c r="N82" s="183"/>
      <c r="O82" s="183"/>
      <c r="P82" s="183"/>
      <c r="Q82" s="187"/>
      <c r="R82" s="188"/>
      <c r="S82" s="183"/>
      <c r="T82" s="183"/>
      <c r="U82" s="177"/>
      <c r="V82" s="183"/>
      <c r="W82" s="183"/>
      <c r="X82" s="190"/>
      <c r="Y82" s="177"/>
      <c r="Z82" s="177"/>
      <c r="AA82" s="178"/>
      <c r="AB82" s="178"/>
      <c r="AC82" s="205"/>
      <c r="AD82" s="178"/>
      <c r="AE82" s="210"/>
      <c r="AF82" s="171"/>
      <c r="AG82" s="173"/>
      <c r="AH82" s="175"/>
      <c r="AI82" s="175"/>
      <c r="AJ82" s="203"/>
      <c r="AK82" s="175"/>
      <c r="AL82" s="175"/>
      <c r="AM82" s="161"/>
      <c r="AN82" s="161"/>
      <c r="AO82" s="165"/>
      <c r="AP82" s="167"/>
      <c r="AQ82" s="169"/>
      <c r="AR82" s="188"/>
      <c r="AS82" s="195"/>
      <c r="AT82" s="183"/>
      <c r="AU82" s="213"/>
    </row>
    <row r="83" spans="1:47" ht="17.25" hidden="1" customHeight="1" thickBot="1" x14ac:dyDescent="0.5">
      <c r="A83" s="133"/>
      <c r="B83" s="140"/>
      <c r="C83" s="191"/>
      <c r="D83" s="194"/>
      <c r="E83" s="183"/>
      <c r="F83" s="183"/>
      <c r="G83" s="183"/>
      <c r="H83" s="187"/>
      <c r="I83" s="188"/>
      <c r="J83" s="183"/>
      <c r="K83" s="183"/>
      <c r="L83" s="187"/>
      <c r="M83" s="188"/>
      <c r="N83" s="183"/>
      <c r="O83" s="183"/>
      <c r="P83" s="183"/>
      <c r="Q83" s="187"/>
      <c r="R83" s="188"/>
      <c r="S83" s="183"/>
      <c r="T83" s="183"/>
      <c r="U83" s="177"/>
      <c r="V83" s="183"/>
      <c r="W83" s="183"/>
      <c r="X83" s="191"/>
      <c r="Y83" s="177"/>
      <c r="Z83" s="177"/>
      <c r="AA83" s="179"/>
      <c r="AB83" s="179"/>
      <c r="AC83" s="206"/>
      <c r="AD83" s="179"/>
      <c r="AE83" s="210"/>
      <c r="AF83" s="171"/>
      <c r="AG83" s="174"/>
      <c r="AH83" s="176"/>
      <c r="AI83" s="176"/>
      <c r="AJ83" s="204"/>
      <c r="AK83" s="176"/>
      <c r="AL83" s="176"/>
      <c r="AM83" s="162"/>
      <c r="AN83" s="162"/>
      <c r="AO83" s="166"/>
      <c r="AP83" s="167"/>
      <c r="AQ83" s="170"/>
      <c r="AR83" s="188"/>
      <c r="AS83" s="195"/>
      <c r="AT83" s="183"/>
      <c r="AU83" s="213"/>
    </row>
    <row r="84" spans="1:47" ht="17.25" hidden="1" customHeight="1" thickBot="1" x14ac:dyDescent="0.5">
      <c r="A84" s="133"/>
      <c r="B84" s="140"/>
      <c r="C84" s="189" t="s">
        <v>104</v>
      </c>
      <c r="D84" s="192" t="s">
        <v>105</v>
      </c>
      <c r="E84" s="183"/>
      <c r="F84" s="183"/>
      <c r="G84" s="183"/>
      <c r="H84" s="187">
        <f t="shared" ref="H84" si="52">SUM(E84:G86)</f>
        <v>0</v>
      </c>
      <c r="I84" s="188">
        <v>6</v>
      </c>
      <c r="J84" s="183"/>
      <c r="K84" s="183"/>
      <c r="L84" s="187">
        <f>SUM(J84:K86)</f>
        <v>0</v>
      </c>
      <c r="M84" s="188">
        <v>4</v>
      </c>
      <c r="N84" s="183"/>
      <c r="O84" s="183"/>
      <c r="P84" s="183"/>
      <c r="Q84" s="187">
        <f>SUM(N84:P86)</f>
        <v>0</v>
      </c>
      <c r="R84" s="188">
        <v>15</v>
      </c>
      <c r="S84" s="183"/>
      <c r="T84" s="183"/>
      <c r="U84" s="177"/>
      <c r="V84" s="183"/>
      <c r="W84" s="183"/>
      <c r="X84" s="189"/>
      <c r="Y84" s="177"/>
      <c r="Z84" s="177"/>
      <c r="AA84" s="178" t="e">
        <f>S84/W84</f>
        <v>#DIV/0!</v>
      </c>
      <c r="AB84" s="178" t="e">
        <f>T84/W84</f>
        <v>#DIV/0!</v>
      </c>
      <c r="AC84" s="205"/>
      <c r="AD84" s="178" t="e">
        <f>V84/W84</f>
        <v>#DIV/0!</v>
      </c>
      <c r="AE84" s="210" t="e">
        <f>X84/W84</f>
        <v>#DIV/0!</v>
      </c>
      <c r="AF84" s="171"/>
      <c r="AG84" s="172"/>
      <c r="AH84" s="175" t="e">
        <f t="shared" ref="AH84:AL84" si="53">IF(AND(AA84&gt;=10%,AA84&lt;=19%),"1",IF(AND(AA84&gt;=20%,AA84&lt;=29%),"2",IF(AND(AA84&gt;=30%,AA84&lt;=39%),"3",IF(AND(AA84&gt;=40%,AA84&lt;=49%),"4",IF(AND(AA84&gt;=50%,AA84&lt;=59%),"5",IF(AND(AA84&gt;=60%,AA84&lt;=69%),"6",IF(AND(AA84&gt;=70%,AA84&lt;=79%),"7",IF(AND(AA84&gt;=80%,AA84&lt;=89%),"8",IF(AND(AA84&gt;=90%,AA84&lt;=99%),"9",IF(AND(AA84&gt;=100%,AA84&lt;=105%),"10",IF(AND(AA84&gt;=106%),"0","0")))))))))))</f>
        <v>#DIV/0!</v>
      </c>
      <c r="AI84" s="175" t="e">
        <f t="shared" si="53"/>
        <v>#DIV/0!</v>
      </c>
      <c r="AJ84" s="203"/>
      <c r="AK84" s="175" t="e">
        <f t="shared" si="53"/>
        <v>#DIV/0!</v>
      </c>
      <c r="AL84" s="175" t="e">
        <f t="shared" si="53"/>
        <v>#DIV/0!</v>
      </c>
      <c r="AM84" s="161"/>
      <c r="AN84" s="163"/>
      <c r="AO84" s="164" t="e">
        <f>AH84+AI84+AK84+AL84</f>
        <v>#DIV/0!</v>
      </c>
      <c r="AP84" s="167">
        <v>40</v>
      </c>
      <c r="AQ84" s="168" t="e">
        <f>SUM(H84,L84,Q84,AO84)</f>
        <v>#DIV/0!</v>
      </c>
      <c r="AR84" s="188">
        <f>SUM(AP84,R84,M84,I84)</f>
        <v>65</v>
      </c>
      <c r="AS84" s="195"/>
      <c r="AT84" s="183"/>
      <c r="AU84" s="213"/>
    </row>
    <row r="85" spans="1:47" ht="17.25" hidden="1" customHeight="1" thickBot="1" x14ac:dyDescent="0.5">
      <c r="A85" s="133"/>
      <c r="B85" s="140"/>
      <c r="C85" s="190"/>
      <c r="D85" s="193"/>
      <c r="E85" s="183"/>
      <c r="F85" s="183"/>
      <c r="G85" s="183"/>
      <c r="H85" s="187"/>
      <c r="I85" s="188"/>
      <c r="J85" s="183"/>
      <c r="K85" s="183"/>
      <c r="L85" s="187"/>
      <c r="M85" s="188"/>
      <c r="N85" s="183"/>
      <c r="O85" s="183"/>
      <c r="P85" s="183"/>
      <c r="Q85" s="187"/>
      <c r="R85" s="188"/>
      <c r="S85" s="183"/>
      <c r="T85" s="183"/>
      <c r="U85" s="177"/>
      <c r="V85" s="183"/>
      <c r="W85" s="183"/>
      <c r="X85" s="190"/>
      <c r="Y85" s="177"/>
      <c r="Z85" s="177"/>
      <c r="AA85" s="178"/>
      <c r="AB85" s="178"/>
      <c r="AC85" s="205"/>
      <c r="AD85" s="178"/>
      <c r="AE85" s="210"/>
      <c r="AF85" s="171"/>
      <c r="AG85" s="173"/>
      <c r="AH85" s="175"/>
      <c r="AI85" s="175"/>
      <c r="AJ85" s="203"/>
      <c r="AK85" s="175"/>
      <c r="AL85" s="175"/>
      <c r="AM85" s="161"/>
      <c r="AN85" s="161"/>
      <c r="AO85" s="165"/>
      <c r="AP85" s="167"/>
      <c r="AQ85" s="169"/>
      <c r="AR85" s="188"/>
      <c r="AS85" s="195"/>
      <c r="AT85" s="183"/>
      <c r="AU85" s="213"/>
    </row>
    <row r="86" spans="1:47" ht="17.25" hidden="1" customHeight="1" thickBot="1" x14ac:dyDescent="0.5">
      <c r="A86" s="133"/>
      <c r="B86" s="140"/>
      <c r="C86" s="191"/>
      <c r="D86" s="194"/>
      <c r="E86" s="183"/>
      <c r="F86" s="183"/>
      <c r="G86" s="183"/>
      <c r="H86" s="187"/>
      <c r="I86" s="188"/>
      <c r="J86" s="183"/>
      <c r="K86" s="183"/>
      <c r="L86" s="187"/>
      <c r="M86" s="188"/>
      <c r="N86" s="183"/>
      <c r="O86" s="183"/>
      <c r="P86" s="183"/>
      <c r="Q86" s="187"/>
      <c r="R86" s="188"/>
      <c r="S86" s="183"/>
      <c r="T86" s="183"/>
      <c r="U86" s="177"/>
      <c r="V86" s="183"/>
      <c r="W86" s="183"/>
      <c r="X86" s="191"/>
      <c r="Y86" s="177"/>
      <c r="Z86" s="177"/>
      <c r="AA86" s="179"/>
      <c r="AB86" s="179"/>
      <c r="AC86" s="206"/>
      <c r="AD86" s="179"/>
      <c r="AE86" s="210"/>
      <c r="AF86" s="171"/>
      <c r="AG86" s="174"/>
      <c r="AH86" s="176"/>
      <c r="AI86" s="176"/>
      <c r="AJ86" s="204"/>
      <c r="AK86" s="176"/>
      <c r="AL86" s="176"/>
      <c r="AM86" s="162"/>
      <c r="AN86" s="162"/>
      <c r="AO86" s="166"/>
      <c r="AP86" s="167"/>
      <c r="AQ86" s="170"/>
      <c r="AR86" s="188"/>
      <c r="AS86" s="195"/>
      <c r="AT86" s="183"/>
      <c r="AU86" s="213"/>
    </row>
    <row r="87" spans="1:47" ht="17.25" hidden="1" customHeight="1" thickBot="1" x14ac:dyDescent="0.5">
      <c r="A87" s="133"/>
      <c r="B87" s="140"/>
      <c r="C87" s="189" t="s">
        <v>106</v>
      </c>
      <c r="D87" s="200" t="s">
        <v>107</v>
      </c>
      <c r="E87" s="189"/>
      <c r="F87" s="189"/>
      <c r="G87" s="189"/>
      <c r="H87" s="187">
        <f t="shared" ref="H87" si="54">SUM(E87:G89)</f>
        <v>0</v>
      </c>
      <c r="I87" s="188">
        <v>7</v>
      </c>
      <c r="J87" s="183"/>
      <c r="K87" s="183"/>
      <c r="L87" s="187">
        <f>SUM(J87:K89)</f>
        <v>0</v>
      </c>
      <c r="M87" s="188">
        <v>4</v>
      </c>
      <c r="N87" s="183"/>
      <c r="O87" s="183"/>
      <c r="P87" s="183"/>
      <c r="Q87" s="187">
        <f>SUM(N87:P89)</f>
        <v>0</v>
      </c>
      <c r="R87" s="196">
        <v>15</v>
      </c>
      <c r="S87" s="189"/>
      <c r="T87" s="189"/>
      <c r="U87" s="189"/>
      <c r="V87" s="184"/>
      <c r="W87" s="189"/>
      <c r="X87" s="184"/>
      <c r="Y87" s="184"/>
      <c r="Z87" s="184"/>
      <c r="AA87" s="178" t="e">
        <f>S87/W87</f>
        <v>#DIV/0!</v>
      </c>
      <c r="AB87" s="178" t="e">
        <f>T87/W87</f>
        <v>#DIV/0!</v>
      </c>
      <c r="AC87" s="178" t="e">
        <f>U87/W87</f>
        <v>#DIV/0!</v>
      </c>
      <c r="AD87" s="199"/>
      <c r="AE87" s="199"/>
      <c r="AF87" s="199"/>
      <c r="AG87" s="199"/>
      <c r="AH87" s="175" t="e">
        <f t="shared" ref="AH87:AJ87" si="55">IF(AND(AA87&gt;=10%,AA87&lt;=19%),"1",IF(AND(AA87&gt;=20%,AA87&lt;=29%),"2",IF(AND(AA87&gt;=30%,AA87&lt;=39%),"3",IF(AND(AA87&gt;=40%,AA87&lt;=49%),"4",IF(AND(AA87&gt;=50%,AA87&lt;=59%),"5",IF(AND(AA87&gt;=60%,AA87&lt;=69%),"6",IF(AND(AA87&gt;=70%,AA87&lt;=79%),"7",IF(AND(AA87&gt;=80%,AA87&lt;=89%),"8",IF(AND(AA87&gt;=90%,AA87&lt;=99%),"9",IF(AND(AA87&gt;=100%,AA87&lt;=105%),"10",IF(AND(AA87&gt;=106%),"0","0")))))))))))</f>
        <v>#DIV/0!</v>
      </c>
      <c r="AI87" s="175" t="e">
        <f t="shared" si="55"/>
        <v>#DIV/0!</v>
      </c>
      <c r="AJ87" s="175" t="e">
        <f t="shared" si="55"/>
        <v>#DIV/0!</v>
      </c>
      <c r="AK87" s="163"/>
      <c r="AL87" s="163"/>
      <c r="AM87" s="163"/>
      <c r="AN87" s="163"/>
      <c r="AO87" s="164" t="e">
        <f>AH87+AI87+AJ87</f>
        <v>#DIV/0!</v>
      </c>
      <c r="AP87" s="207">
        <v>30</v>
      </c>
      <c r="AQ87" s="168" t="e">
        <f>SUM(H87,L87,Q87,AO87)</f>
        <v>#DIV/0!</v>
      </c>
      <c r="AR87" s="196">
        <v>55</v>
      </c>
      <c r="AS87" s="195"/>
      <c r="AT87" s="183"/>
      <c r="AU87" s="213"/>
    </row>
    <row r="88" spans="1:47" ht="17.25" hidden="1" customHeight="1" thickBot="1" x14ac:dyDescent="0.5">
      <c r="A88" s="133"/>
      <c r="B88" s="140"/>
      <c r="C88" s="190"/>
      <c r="D88" s="201"/>
      <c r="E88" s="190"/>
      <c r="F88" s="190"/>
      <c r="G88" s="190"/>
      <c r="H88" s="187"/>
      <c r="I88" s="188"/>
      <c r="J88" s="183"/>
      <c r="K88" s="183"/>
      <c r="L88" s="187"/>
      <c r="M88" s="188"/>
      <c r="N88" s="183"/>
      <c r="O88" s="183"/>
      <c r="P88" s="183"/>
      <c r="Q88" s="187"/>
      <c r="R88" s="197"/>
      <c r="S88" s="190"/>
      <c r="T88" s="190"/>
      <c r="U88" s="190"/>
      <c r="V88" s="185"/>
      <c r="W88" s="190"/>
      <c r="X88" s="185"/>
      <c r="Y88" s="185"/>
      <c r="Z88" s="185"/>
      <c r="AA88" s="178"/>
      <c r="AB88" s="178"/>
      <c r="AC88" s="178"/>
      <c r="AD88" s="180"/>
      <c r="AE88" s="180"/>
      <c r="AF88" s="180"/>
      <c r="AG88" s="180"/>
      <c r="AH88" s="175"/>
      <c r="AI88" s="175"/>
      <c r="AJ88" s="175"/>
      <c r="AK88" s="161"/>
      <c r="AL88" s="161"/>
      <c r="AM88" s="161"/>
      <c r="AN88" s="161"/>
      <c r="AO88" s="165"/>
      <c r="AP88" s="208"/>
      <c r="AQ88" s="169"/>
      <c r="AR88" s="197"/>
      <c r="AS88" s="195"/>
      <c r="AT88" s="183"/>
      <c r="AU88" s="213"/>
    </row>
    <row r="89" spans="1:47" ht="17.25" hidden="1" customHeight="1" thickBot="1" x14ac:dyDescent="0.5">
      <c r="A89" s="133"/>
      <c r="B89" s="140"/>
      <c r="C89" s="191"/>
      <c r="D89" s="202"/>
      <c r="E89" s="191"/>
      <c r="F89" s="191"/>
      <c r="G89" s="191"/>
      <c r="H89" s="187"/>
      <c r="I89" s="188"/>
      <c r="J89" s="183"/>
      <c r="K89" s="183"/>
      <c r="L89" s="187"/>
      <c r="M89" s="188"/>
      <c r="N89" s="183"/>
      <c r="O89" s="183"/>
      <c r="P89" s="183"/>
      <c r="Q89" s="187"/>
      <c r="R89" s="198"/>
      <c r="S89" s="191"/>
      <c r="T89" s="191"/>
      <c r="U89" s="191"/>
      <c r="V89" s="186"/>
      <c r="W89" s="191"/>
      <c r="X89" s="186"/>
      <c r="Y89" s="186"/>
      <c r="Z89" s="186"/>
      <c r="AA89" s="179"/>
      <c r="AB89" s="179"/>
      <c r="AC89" s="179"/>
      <c r="AD89" s="181"/>
      <c r="AE89" s="181"/>
      <c r="AF89" s="181"/>
      <c r="AG89" s="181"/>
      <c r="AH89" s="176"/>
      <c r="AI89" s="176"/>
      <c r="AJ89" s="176"/>
      <c r="AK89" s="162"/>
      <c r="AL89" s="162"/>
      <c r="AM89" s="162"/>
      <c r="AN89" s="162"/>
      <c r="AO89" s="166"/>
      <c r="AP89" s="209"/>
      <c r="AQ89" s="170"/>
      <c r="AR89" s="198"/>
      <c r="AS89" s="195"/>
      <c r="AT89" s="183"/>
      <c r="AU89" s="213"/>
    </row>
    <row r="90" spans="1:47" ht="17.25" hidden="1" customHeight="1" thickBot="1" x14ac:dyDescent="0.5">
      <c r="A90" s="133"/>
      <c r="B90" s="140"/>
      <c r="C90" s="189" t="s">
        <v>108</v>
      </c>
      <c r="D90" s="192" t="s">
        <v>109</v>
      </c>
      <c r="E90" s="183"/>
      <c r="F90" s="183"/>
      <c r="G90" s="183"/>
      <c r="H90" s="187">
        <f t="shared" ref="H90" si="56">SUM(E90:G92)</f>
        <v>0</v>
      </c>
      <c r="I90" s="188">
        <v>6</v>
      </c>
      <c r="J90" s="183"/>
      <c r="K90" s="183"/>
      <c r="L90" s="187">
        <f>SUM(J90:K92)</f>
        <v>0</v>
      </c>
      <c r="M90" s="188">
        <v>4</v>
      </c>
      <c r="N90" s="183"/>
      <c r="O90" s="183"/>
      <c r="P90" s="183"/>
      <c r="Q90" s="187">
        <f>SUM(N90:P92)</f>
        <v>0</v>
      </c>
      <c r="R90" s="188">
        <v>15</v>
      </c>
      <c r="S90" s="183"/>
      <c r="T90" s="183"/>
      <c r="U90" s="177"/>
      <c r="V90" s="183"/>
      <c r="W90" s="183"/>
      <c r="X90" s="184"/>
      <c r="Y90" s="177"/>
      <c r="Z90" s="177"/>
      <c r="AA90" s="178" t="e">
        <f>S90/W90</f>
        <v>#DIV/0!</v>
      </c>
      <c r="AB90" s="178" t="e">
        <f>T90/W90</f>
        <v>#DIV/0!</v>
      </c>
      <c r="AC90" s="199"/>
      <c r="AD90" s="178" t="e">
        <f>V90/W90</f>
        <v>#DIV/0!</v>
      </c>
      <c r="AE90" s="182"/>
      <c r="AF90" s="171"/>
      <c r="AG90" s="172"/>
      <c r="AH90" s="175" t="e">
        <f t="shared" ref="AH90:AK90" si="57">IF(AND(AA90&gt;=10%,AA90&lt;=19%),"1",IF(AND(AA90&gt;=20%,AA90&lt;=29%),"2",IF(AND(AA90&gt;=30%,AA90&lt;=39%),"3",IF(AND(AA90&gt;=40%,AA90&lt;=49%),"4",IF(AND(AA90&gt;=50%,AA90&lt;=59%),"5",IF(AND(AA90&gt;=60%,AA90&lt;=69%),"6",IF(AND(AA90&gt;=70%,AA90&lt;=79%),"7",IF(AND(AA90&gt;=80%,AA90&lt;=89%),"8",IF(AND(AA90&gt;=90%,AA90&lt;=99%),"9",IF(AND(AA90&gt;=100%,AA90&lt;=105%),"10",IF(AND(AA90&gt;=106%),"0","0")))))))))))</f>
        <v>#DIV/0!</v>
      </c>
      <c r="AI90" s="175" t="e">
        <f t="shared" si="57"/>
        <v>#DIV/0!</v>
      </c>
      <c r="AJ90" s="163"/>
      <c r="AK90" s="175" t="e">
        <f t="shared" si="57"/>
        <v>#DIV/0!</v>
      </c>
      <c r="AL90" s="161"/>
      <c r="AM90" s="163"/>
      <c r="AN90" s="163"/>
      <c r="AO90" s="164" t="e">
        <f>AH90+AI90+AK90</f>
        <v>#DIV/0!</v>
      </c>
      <c r="AP90" s="167">
        <v>30</v>
      </c>
      <c r="AQ90" s="168" t="e">
        <f>SUM(H90,L90,Q90,AO90)</f>
        <v>#DIV/0!</v>
      </c>
      <c r="AR90" s="188">
        <f t="shared" ref="AR90" si="58">SUM(AP90,R90,M90,I90)</f>
        <v>55</v>
      </c>
      <c r="AS90" s="195"/>
      <c r="AT90" s="183"/>
      <c r="AU90" s="213"/>
    </row>
    <row r="91" spans="1:47" ht="17.25" hidden="1" customHeight="1" thickBot="1" x14ac:dyDescent="0.5">
      <c r="A91" s="133"/>
      <c r="B91" s="140"/>
      <c r="C91" s="190"/>
      <c r="D91" s="193"/>
      <c r="E91" s="183"/>
      <c r="F91" s="183"/>
      <c r="G91" s="183"/>
      <c r="H91" s="187"/>
      <c r="I91" s="188"/>
      <c r="J91" s="183"/>
      <c r="K91" s="183"/>
      <c r="L91" s="187"/>
      <c r="M91" s="188"/>
      <c r="N91" s="183"/>
      <c r="O91" s="183"/>
      <c r="P91" s="183"/>
      <c r="Q91" s="187"/>
      <c r="R91" s="188"/>
      <c r="S91" s="183"/>
      <c r="T91" s="183"/>
      <c r="U91" s="177"/>
      <c r="V91" s="183"/>
      <c r="W91" s="183"/>
      <c r="X91" s="185"/>
      <c r="Y91" s="177"/>
      <c r="Z91" s="177"/>
      <c r="AA91" s="178"/>
      <c r="AB91" s="178"/>
      <c r="AC91" s="180"/>
      <c r="AD91" s="178"/>
      <c r="AE91" s="182"/>
      <c r="AF91" s="171"/>
      <c r="AG91" s="173"/>
      <c r="AH91" s="175"/>
      <c r="AI91" s="175"/>
      <c r="AJ91" s="161"/>
      <c r="AK91" s="175"/>
      <c r="AL91" s="161"/>
      <c r="AM91" s="161"/>
      <c r="AN91" s="161"/>
      <c r="AO91" s="165"/>
      <c r="AP91" s="167"/>
      <c r="AQ91" s="169"/>
      <c r="AR91" s="188"/>
      <c r="AS91" s="195"/>
      <c r="AT91" s="183"/>
      <c r="AU91" s="213"/>
    </row>
    <row r="92" spans="1:47" ht="15.6" hidden="1" customHeight="1" thickBot="1" x14ac:dyDescent="0.5">
      <c r="A92" s="133"/>
      <c r="B92" s="140"/>
      <c r="C92" s="191"/>
      <c r="D92" s="194"/>
      <c r="E92" s="183"/>
      <c r="F92" s="183"/>
      <c r="G92" s="183"/>
      <c r="H92" s="187"/>
      <c r="I92" s="188"/>
      <c r="J92" s="183"/>
      <c r="K92" s="183"/>
      <c r="L92" s="187"/>
      <c r="M92" s="188"/>
      <c r="N92" s="183"/>
      <c r="O92" s="183"/>
      <c r="P92" s="183"/>
      <c r="Q92" s="187"/>
      <c r="R92" s="188"/>
      <c r="S92" s="183"/>
      <c r="T92" s="183"/>
      <c r="U92" s="177"/>
      <c r="V92" s="183"/>
      <c r="W92" s="183"/>
      <c r="X92" s="186"/>
      <c r="Y92" s="177"/>
      <c r="Z92" s="177"/>
      <c r="AA92" s="179"/>
      <c r="AB92" s="179"/>
      <c r="AC92" s="181"/>
      <c r="AD92" s="179"/>
      <c r="AE92" s="182"/>
      <c r="AF92" s="171"/>
      <c r="AG92" s="174"/>
      <c r="AH92" s="176"/>
      <c r="AI92" s="176"/>
      <c r="AJ92" s="162"/>
      <c r="AK92" s="176"/>
      <c r="AL92" s="162"/>
      <c r="AM92" s="162"/>
      <c r="AN92" s="162"/>
      <c r="AO92" s="166"/>
      <c r="AP92" s="167"/>
      <c r="AQ92" s="170"/>
      <c r="AR92" s="188"/>
      <c r="AS92" s="195"/>
      <c r="AT92" s="183"/>
      <c r="AU92" s="213"/>
    </row>
    <row r="93" spans="1:47" ht="15.6" hidden="1" customHeight="1" thickBot="1" x14ac:dyDescent="0.5">
      <c r="A93" s="133"/>
      <c r="B93" s="140"/>
      <c r="C93" s="189" t="s">
        <v>110</v>
      </c>
      <c r="D93" s="192" t="s">
        <v>111</v>
      </c>
      <c r="E93" s="183"/>
      <c r="F93" s="183"/>
      <c r="G93" s="183"/>
      <c r="H93" s="187">
        <f t="shared" ref="H93" si="59">SUM(E93:G95)</f>
        <v>0</v>
      </c>
      <c r="I93" s="188">
        <v>6</v>
      </c>
      <c r="J93" s="183"/>
      <c r="K93" s="183"/>
      <c r="L93" s="187">
        <f>SUM(J93:K95)</f>
        <v>0</v>
      </c>
      <c r="M93" s="188">
        <v>4</v>
      </c>
      <c r="N93" s="183"/>
      <c r="O93" s="183"/>
      <c r="P93" s="183"/>
      <c r="Q93" s="187">
        <f>SUM(N93:P95)</f>
        <v>0</v>
      </c>
      <c r="R93" s="188">
        <v>15</v>
      </c>
      <c r="S93" s="183"/>
      <c r="T93" s="183"/>
      <c r="U93" s="177"/>
      <c r="V93" s="183"/>
      <c r="W93" s="183"/>
      <c r="X93" s="184"/>
      <c r="Y93" s="184"/>
      <c r="Z93" s="177"/>
      <c r="AA93" s="178" t="e">
        <f>S93/W93</f>
        <v>#DIV/0!</v>
      </c>
      <c r="AB93" s="178" t="e">
        <f>T93/W93</f>
        <v>#DIV/0!</v>
      </c>
      <c r="AC93" s="180"/>
      <c r="AD93" s="178" t="e">
        <f>V93/W93</f>
        <v>#DIV/0!</v>
      </c>
      <c r="AE93" s="182"/>
      <c r="AF93" s="171"/>
      <c r="AG93" s="172"/>
      <c r="AH93" s="175" t="e">
        <f t="shared" ref="AH93:AK93" si="60">IF(AND(AA93&gt;=10%,AA93&lt;=19%),"1",IF(AND(AA93&gt;=20%,AA93&lt;=29%),"2",IF(AND(AA93&gt;=30%,AA93&lt;=39%),"3",IF(AND(AA93&gt;=40%,AA93&lt;=49%),"4",IF(AND(AA93&gt;=50%,AA93&lt;=59%),"5",IF(AND(AA93&gt;=60%,AA93&lt;=69%),"6",IF(AND(AA93&gt;=70%,AA93&lt;=79%),"7",IF(AND(AA93&gt;=80%,AA93&lt;=89%),"8",IF(AND(AA93&gt;=90%,AA93&lt;=99%),"9",IF(AND(AA93&gt;=100%,AA93&lt;=105%),"10",IF(AND(AA93&gt;=106%),"0","0")))))))))))</f>
        <v>#DIV/0!</v>
      </c>
      <c r="AI93" s="175" t="e">
        <f t="shared" si="60"/>
        <v>#DIV/0!</v>
      </c>
      <c r="AJ93" s="161"/>
      <c r="AK93" s="175" t="e">
        <f t="shared" si="60"/>
        <v>#DIV/0!</v>
      </c>
      <c r="AL93" s="161"/>
      <c r="AM93" s="161"/>
      <c r="AN93" s="163"/>
      <c r="AO93" s="164" t="e">
        <f>AH93+AI93+AK93</f>
        <v>#DIV/0!</v>
      </c>
      <c r="AP93" s="167">
        <v>30</v>
      </c>
      <c r="AQ93" s="168" t="e">
        <f>SUM(H93,L93,Q93,AO93)</f>
        <v>#DIV/0!</v>
      </c>
      <c r="AR93" s="188">
        <f t="shared" ref="AR93" si="61">SUM(AP93,R93,M93,I93)</f>
        <v>55</v>
      </c>
      <c r="AS93" s="195"/>
      <c r="AT93" s="183"/>
      <c r="AU93" s="213"/>
    </row>
    <row r="94" spans="1:47" ht="15.6" hidden="1" customHeight="1" thickBot="1" x14ac:dyDescent="0.5">
      <c r="A94" s="133"/>
      <c r="B94" s="140"/>
      <c r="C94" s="190"/>
      <c r="D94" s="193"/>
      <c r="E94" s="183"/>
      <c r="F94" s="183"/>
      <c r="G94" s="183"/>
      <c r="H94" s="187"/>
      <c r="I94" s="188"/>
      <c r="J94" s="183"/>
      <c r="K94" s="183"/>
      <c r="L94" s="187"/>
      <c r="M94" s="188"/>
      <c r="N94" s="183"/>
      <c r="O94" s="183"/>
      <c r="P94" s="183"/>
      <c r="Q94" s="187"/>
      <c r="R94" s="188"/>
      <c r="S94" s="183"/>
      <c r="T94" s="183"/>
      <c r="U94" s="177"/>
      <c r="V94" s="183"/>
      <c r="W94" s="183"/>
      <c r="X94" s="185"/>
      <c r="Y94" s="185"/>
      <c r="Z94" s="177"/>
      <c r="AA94" s="178"/>
      <c r="AB94" s="178"/>
      <c r="AC94" s="180"/>
      <c r="AD94" s="178"/>
      <c r="AE94" s="182"/>
      <c r="AF94" s="171"/>
      <c r="AG94" s="173"/>
      <c r="AH94" s="175"/>
      <c r="AI94" s="175"/>
      <c r="AJ94" s="161"/>
      <c r="AK94" s="175"/>
      <c r="AL94" s="161"/>
      <c r="AM94" s="161"/>
      <c r="AN94" s="161"/>
      <c r="AO94" s="165"/>
      <c r="AP94" s="167"/>
      <c r="AQ94" s="169"/>
      <c r="AR94" s="188"/>
      <c r="AS94" s="195"/>
      <c r="AT94" s="183"/>
      <c r="AU94" s="213"/>
    </row>
    <row r="95" spans="1:47" ht="15.6" hidden="1" customHeight="1" thickBot="1" x14ac:dyDescent="0.5">
      <c r="A95" s="133"/>
      <c r="B95" s="140"/>
      <c r="C95" s="191"/>
      <c r="D95" s="194"/>
      <c r="E95" s="183"/>
      <c r="F95" s="183"/>
      <c r="G95" s="183"/>
      <c r="H95" s="187"/>
      <c r="I95" s="188"/>
      <c r="J95" s="183"/>
      <c r="K95" s="183"/>
      <c r="L95" s="187"/>
      <c r="M95" s="188"/>
      <c r="N95" s="183"/>
      <c r="O95" s="183"/>
      <c r="P95" s="183"/>
      <c r="Q95" s="187"/>
      <c r="R95" s="188"/>
      <c r="S95" s="183"/>
      <c r="T95" s="183"/>
      <c r="U95" s="177"/>
      <c r="V95" s="183"/>
      <c r="W95" s="183"/>
      <c r="X95" s="186"/>
      <c r="Y95" s="186"/>
      <c r="Z95" s="177"/>
      <c r="AA95" s="179"/>
      <c r="AB95" s="179"/>
      <c r="AC95" s="181"/>
      <c r="AD95" s="179"/>
      <c r="AE95" s="182"/>
      <c r="AF95" s="171"/>
      <c r="AG95" s="174"/>
      <c r="AH95" s="176"/>
      <c r="AI95" s="176"/>
      <c r="AJ95" s="162"/>
      <c r="AK95" s="176"/>
      <c r="AL95" s="162"/>
      <c r="AM95" s="162"/>
      <c r="AN95" s="162"/>
      <c r="AO95" s="166"/>
      <c r="AP95" s="167"/>
      <c r="AQ95" s="170"/>
      <c r="AR95" s="188"/>
      <c r="AS95" s="195"/>
      <c r="AT95" s="183"/>
      <c r="AU95" s="213"/>
    </row>
    <row r="96" spans="1:47" s="2" customFormat="1" ht="39.75" customHeight="1" thickBot="1" x14ac:dyDescent="0.5">
      <c r="A96" s="139"/>
      <c r="B96" s="134"/>
      <c r="C96" s="89"/>
      <c r="D96" s="88"/>
      <c r="E96" s="90"/>
      <c r="F96" s="90"/>
      <c r="G96" s="90"/>
      <c r="H96" s="91">
        <f>SUM(H75:H95)</f>
        <v>12</v>
      </c>
      <c r="I96" s="91">
        <f>SUM(I75:I80)</f>
        <v>12</v>
      </c>
      <c r="J96" s="90"/>
      <c r="K96" s="90"/>
      <c r="L96" s="91">
        <f>SUM(L75:L95)</f>
        <v>8</v>
      </c>
      <c r="M96" s="91">
        <f>SUM(M75:M80)</f>
        <v>8</v>
      </c>
      <c r="N96" s="90"/>
      <c r="O96" s="90"/>
      <c r="P96" s="90"/>
      <c r="Q96" s="91">
        <f>SUM(Q75:Q95)</f>
        <v>30</v>
      </c>
      <c r="R96" s="91">
        <f>SUM(R75:R80)</f>
        <v>30</v>
      </c>
      <c r="S96" s="90"/>
      <c r="T96" s="90"/>
      <c r="U96" s="90"/>
      <c r="V96" s="90"/>
      <c r="W96" s="90"/>
      <c r="X96" s="90"/>
      <c r="Y96" s="90"/>
      <c r="Z96" s="90"/>
      <c r="AA96" s="92"/>
      <c r="AB96" s="92"/>
      <c r="AC96" s="92"/>
      <c r="AD96" s="92"/>
      <c r="AE96" s="92"/>
      <c r="AF96" s="92"/>
      <c r="AG96" s="92"/>
      <c r="AH96" s="92"/>
      <c r="AI96" s="92"/>
      <c r="AJ96" s="92"/>
      <c r="AK96" s="92"/>
      <c r="AL96" s="92"/>
      <c r="AM96" s="92"/>
      <c r="AN96" s="92"/>
      <c r="AO96" s="92">
        <f>AO75+AO78</f>
        <v>70</v>
      </c>
      <c r="AP96" s="92">
        <f t="shared" ref="AP96:AR96" si="62">SUM(AP75:AP80)</f>
        <v>80</v>
      </c>
      <c r="AQ96" s="156">
        <f>AQ75+AQ78</f>
        <v>120</v>
      </c>
      <c r="AR96" s="92">
        <f t="shared" si="62"/>
        <v>130</v>
      </c>
      <c r="AS96" s="93"/>
      <c r="AT96" s="93"/>
      <c r="AU96" s="213"/>
    </row>
    <row r="97" spans="1:47" s="2" customFormat="1" ht="27" thickBot="1" x14ac:dyDescent="0.5">
      <c r="A97" s="139"/>
      <c r="B97" s="134"/>
      <c r="C97" s="94"/>
      <c r="D97" s="82" t="s">
        <v>112</v>
      </c>
      <c r="E97" s="95"/>
      <c r="F97" s="95"/>
      <c r="G97" s="95"/>
      <c r="H97" s="39">
        <f>SUM(H96+H74+H61)</f>
        <v>172</v>
      </c>
      <c r="I97" s="39">
        <f>SUM(I96+I74+I61)</f>
        <v>180</v>
      </c>
      <c r="J97" s="96">
        <f>H97/I97</f>
        <v>0.9555555555555556</v>
      </c>
      <c r="K97" s="82"/>
      <c r="L97" s="39">
        <f>SUM(L96+L74+L61)</f>
        <v>112</v>
      </c>
      <c r="M97" s="39">
        <f>SUM(M96+M74+M61)</f>
        <v>120</v>
      </c>
      <c r="N97" s="96">
        <f>L97/M97</f>
        <v>0.93333333333333335</v>
      </c>
      <c r="O97" s="82"/>
      <c r="P97" s="82"/>
      <c r="Q97" s="39">
        <f>SUM(Q96+Q74+Q61)</f>
        <v>390</v>
      </c>
      <c r="R97" s="39">
        <f>SUM(R96+R74+R61)</f>
        <v>450</v>
      </c>
      <c r="S97" s="96">
        <f>Q97/R97</f>
        <v>0.8666666666666667</v>
      </c>
      <c r="T97" s="82"/>
      <c r="U97" s="82"/>
      <c r="V97" s="82"/>
      <c r="W97" s="82"/>
      <c r="X97" s="82"/>
      <c r="Y97" s="82"/>
      <c r="Z97" s="82"/>
      <c r="AA97" s="82"/>
      <c r="AB97" s="82"/>
      <c r="AC97" s="82"/>
      <c r="AD97" s="82"/>
      <c r="AE97" s="82"/>
      <c r="AF97" s="82"/>
      <c r="AG97" s="82"/>
      <c r="AH97" s="82"/>
      <c r="AI97" s="82"/>
      <c r="AJ97" s="82"/>
      <c r="AK97" s="82"/>
      <c r="AL97" s="82"/>
      <c r="AM97" s="96">
        <f>AO97/AP97</f>
        <v>0.86260162601626011</v>
      </c>
      <c r="AN97" s="97"/>
      <c r="AO97" s="39">
        <f>SUM(AO96,AO74,AO61)</f>
        <v>1061</v>
      </c>
      <c r="AP97" s="39">
        <f>SUM(AP96+AP74+AP61)</f>
        <v>1230</v>
      </c>
      <c r="AQ97" s="51">
        <f>SUM(AQ96+AQ74+AQ61)</f>
        <v>1735</v>
      </c>
      <c r="AR97" s="39">
        <f>SUM(AR96+AR74+AR61)</f>
        <v>1980</v>
      </c>
      <c r="AS97" s="98">
        <f>AQ97/AR97</f>
        <v>0.8762626262626263</v>
      </c>
      <c r="AT97" s="99"/>
      <c r="AU97" s="213"/>
    </row>
    <row r="98" spans="1:47" ht="21.4" thickBot="1" x14ac:dyDescent="0.5">
      <c r="A98" s="133"/>
      <c r="B98" s="140"/>
      <c r="C98" s="157"/>
      <c r="D98" s="158"/>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213"/>
    </row>
    <row r="99" spans="1:47" x14ac:dyDescent="0.45">
      <c r="A99" s="131"/>
      <c r="B99" s="141"/>
      <c r="C99" s="142"/>
      <c r="D99" s="143"/>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4"/>
    </row>
    <row r="100" spans="1:47" ht="36.75" customHeight="1" x14ac:dyDescent="0.9">
      <c r="A100" s="131"/>
      <c r="B100" s="159" t="s">
        <v>113</v>
      </c>
      <c r="C100" s="160"/>
      <c r="D100" s="160"/>
      <c r="E100" s="160"/>
      <c r="F100" s="160"/>
      <c r="G100" s="160"/>
      <c r="H100" s="160"/>
      <c r="I100" s="160"/>
      <c r="J100" s="160"/>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60"/>
      <c r="AH100" s="160"/>
      <c r="AI100" s="160"/>
      <c r="AJ100" s="160"/>
      <c r="AK100" s="160"/>
      <c r="AL100" s="160"/>
      <c r="AM100" s="160"/>
      <c r="AN100" s="160"/>
      <c r="AO100" s="160"/>
      <c r="AP100" s="131"/>
      <c r="AQ100" s="131"/>
      <c r="AR100" s="131"/>
      <c r="AS100" s="131"/>
      <c r="AT100" s="131"/>
      <c r="AU100" s="145"/>
    </row>
    <row r="101" spans="1:47" ht="45" customHeight="1" thickBot="1" x14ac:dyDescent="0.95">
      <c r="A101" s="131"/>
      <c r="B101" s="100" t="s">
        <v>114</v>
      </c>
      <c r="C101" s="101"/>
      <c r="D101" s="122"/>
      <c r="E101" s="101"/>
      <c r="F101" s="101"/>
      <c r="G101" s="101"/>
      <c r="H101" s="101"/>
      <c r="I101" s="101"/>
      <c r="J101" s="101"/>
      <c r="K101" s="102"/>
      <c r="L101" s="102"/>
      <c r="M101" s="102"/>
      <c r="N101" s="102"/>
      <c r="O101" s="102"/>
      <c r="P101" s="102"/>
      <c r="Q101" s="102"/>
      <c r="R101" s="102"/>
      <c r="S101" s="102"/>
      <c r="T101" s="102"/>
      <c r="U101" s="102"/>
      <c r="V101" s="102"/>
      <c r="W101" s="102"/>
      <c r="X101" s="102"/>
      <c r="Y101" s="102"/>
      <c r="Z101" s="102"/>
      <c r="AA101" s="102"/>
      <c r="AB101" s="102"/>
      <c r="AC101" s="102"/>
      <c r="AD101" s="102"/>
      <c r="AE101" s="146"/>
      <c r="AF101" s="146"/>
      <c r="AG101" s="146"/>
      <c r="AH101" s="102"/>
      <c r="AI101" s="102"/>
      <c r="AJ101" s="102"/>
      <c r="AK101" s="102"/>
      <c r="AL101" s="102"/>
      <c r="AM101" s="102"/>
      <c r="AN101" s="102"/>
      <c r="AO101" s="102"/>
      <c r="AP101" s="146"/>
      <c r="AQ101" s="146"/>
      <c r="AR101" s="146"/>
      <c r="AS101" s="146"/>
      <c r="AT101" s="146"/>
      <c r="AU101" s="147"/>
    </row>
    <row r="102" spans="1:47" x14ac:dyDescent="0.45">
      <c r="A102" s="131"/>
      <c r="B102" s="148"/>
      <c r="C102" s="131"/>
      <c r="D102" s="132"/>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row>
    <row r="103" spans="1:47" x14ac:dyDescent="0.45">
      <c r="A103" s="131"/>
      <c r="B103" s="148"/>
      <c r="C103" s="131"/>
      <c r="D103" s="132"/>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row>
    <row r="104" spans="1:47" x14ac:dyDescent="0.45">
      <c r="A104" s="131"/>
      <c r="B104" s="148"/>
      <c r="C104" s="131"/>
      <c r="D104" s="132"/>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row>
    <row r="105" spans="1:47" x14ac:dyDescent="0.45">
      <c r="A105" s="131"/>
      <c r="B105" s="148"/>
      <c r="C105" s="131"/>
      <c r="D105" s="132"/>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row>
    <row r="106" spans="1:47" x14ac:dyDescent="0.45">
      <c r="A106" s="131"/>
      <c r="B106" s="148"/>
      <c r="C106" s="131"/>
      <c r="D106" s="132"/>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row>
    <row r="107" spans="1:47" x14ac:dyDescent="0.45">
      <c r="A107" s="131"/>
      <c r="B107" s="148"/>
      <c r="C107" s="131"/>
      <c r="D107" s="132"/>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row>
    <row r="108" spans="1:47" x14ac:dyDescent="0.45">
      <c r="A108" s="131"/>
      <c r="B108" s="148"/>
      <c r="C108" s="131"/>
      <c r="D108" s="132"/>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row>
    <row r="109" spans="1:47" x14ac:dyDescent="0.45">
      <c r="A109" s="131"/>
      <c r="B109" s="148"/>
      <c r="C109" s="131"/>
      <c r="D109" s="132"/>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row>
    <row r="110" spans="1:47" x14ac:dyDescent="0.45">
      <c r="A110" s="131"/>
      <c r="B110" s="148"/>
      <c r="C110" s="131"/>
      <c r="D110" s="132"/>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131"/>
      <c r="AK110" s="131"/>
      <c r="AL110" s="131"/>
      <c r="AM110" s="131"/>
      <c r="AN110" s="131"/>
      <c r="AO110" s="131"/>
      <c r="AP110" s="131"/>
      <c r="AQ110" s="131"/>
      <c r="AR110" s="131"/>
      <c r="AS110" s="131"/>
      <c r="AT110" s="131"/>
      <c r="AU110" s="131"/>
    </row>
    <row r="111" spans="1:47" x14ac:dyDescent="0.45">
      <c r="A111" s="131"/>
      <c r="B111" s="148"/>
      <c r="C111" s="131"/>
      <c r="D111" s="132"/>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row>
    <row r="112" spans="1:47" x14ac:dyDescent="0.45">
      <c r="A112" s="131"/>
      <c r="B112" s="148"/>
      <c r="C112" s="131"/>
      <c r="D112" s="132"/>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c r="AI112" s="131"/>
      <c r="AJ112" s="131"/>
      <c r="AK112" s="131"/>
      <c r="AL112" s="131"/>
      <c r="AM112" s="131"/>
      <c r="AN112" s="131"/>
      <c r="AO112" s="131"/>
      <c r="AP112" s="131"/>
      <c r="AQ112" s="131"/>
      <c r="AR112" s="131"/>
      <c r="AS112" s="131"/>
      <c r="AT112" s="131"/>
      <c r="AU112" s="131"/>
    </row>
    <row r="113" spans="2:2" x14ac:dyDescent="0.45">
      <c r="B113" s="148"/>
    </row>
    <row r="114" spans="2:2" x14ac:dyDescent="0.45">
      <c r="B114" s="148"/>
    </row>
    <row r="115" spans="2:2" x14ac:dyDescent="0.45">
      <c r="B115" s="148"/>
    </row>
    <row r="116" spans="2:2" x14ac:dyDescent="0.45">
      <c r="B116" s="148"/>
    </row>
    <row r="117" spans="2:2" x14ac:dyDescent="0.45">
      <c r="B117" s="148"/>
    </row>
    <row r="118" spans="2:2" x14ac:dyDescent="0.45">
      <c r="B118" s="148"/>
    </row>
    <row r="119" spans="2:2" x14ac:dyDescent="0.45">
      <c r="B119" s="148"/>
    </row>
    <row r="120" spans="2:2" x14ac:dyDescent="0.45">
      <c r="B120" s="148"/>
    </row>
    <row r="121" spans="2:2" x14ac:dyDescent="0.45">
      <c r="B121" s="148"/>
    </row>
    <row r="122" spans="2:2" x14ac:dyDescent="0.45">
      <c r="B122" s="148"/>
    </row>
    <row r="123" spans="2:2" x14ac:dyDescent="0.45">
      <c r="B123" s="148"/>
    </row>
    <row r="124" spans="2:2" x14ac:dyDescent="0.45">
      <c r="B124" s="148"/>
    </row>
    <row r="125" spans="2:2" x14ac:dyDescent="0.45">
      <c r="B125" s="148"/>
    </row>
    <row r="126" spans="2:2" x14ac:dyDescent="0.45">
      <c r="B126" s="148"/>
    </row>
    <row r="127" spans="2:2" x14ac:dyDescent="0.45">
      <c r="B127" s="148"/>
    </row>
    <row r="128" spans="2:2" x14ac:dyDescent="0.45">
      <c r="B128" s="148"/>
    </row>
    <row r="129" spans="2:2" x14ac:dyDescent="0.45">
      <c r="B129" s="148"/>
    </row>
    <row r="130" spans="2:2" x14ac:dyDescent="0.45">
      <c r="B130" s="148"/>
    </row>
    <row r="131" spans="2:2" x14ac:dyDescent="0.45">
      <c r="B131" s="148"/>
    </row>
    <row r="132" spans="2:2" x14ac:dyDescent="0.45">
      <c r="B132" s="148"/>
    </row>
    <row r="133" spans="2:2" x14ac:dyDescent="0.45">
      <c r="B133" s="148"/>
    </row>
    <row r="134" spans="2:2" x14ac:dyDescent="0.45">
      <c r="B134" s="148"/>
    </row>
    <row r="135" spans="2:2" x14ac:dyDescent="0.45">
      <c r="B135" s="148"/>
    </row>
    <row r="136" spans="2:2" x14ac:dyDescent="0.45">
      <c r="B136" s="148"/>
    </row>
    <row r="137" spans="2:2" x14ac:dyDescent="0.45">
      <c r="B137" s="148"/>
    </row>
    <row r="138" spans="2:2" x14ac:dyDescent="0.45">
      <c r="B138" s="148"/>
    </row>
    <row r="139" spans="2:2" x14ac:dyDescent="0.45">
      <c r="B139" s="148"/>
    </row>
    <row r="140" spans="2:2" x14ac:dyDescent="0.45">
      <c r="B140" s="148"/>
    </row>
    <row r="141" spans="2:2" x14ac:dyDescent="0.45">
      <c r="B141" s="148"/>
    </row>
    <row r="142" spans="2:2" x14ac:dyDescent="0.45">
      <c r="B142" s="148"/>
    </row>
    <row r="143" spans="2:2" x14ac:dyDescent="0.45">
      <c r="B143" s="148"/>
    </row>
    <row r="144" spans="2:2" x14ac:dyDescent="0.45">
      <c r="B144" s="148"/>
    </row>
    <row r="145" spans="2:2" x14ac:dyDescent="0.45">
      <c r="B145" s="148"/>
    </row>
    <row r="146" spans="2:2" x14ac:dyDescent="0.45">
      <c r="B146" s="148"/>
    </row>
    <row r="147" spans="2:2" x14ac:dyDescent="0.45">
      <c r="B147" s="148"/>
    </row>
    <row r="148" spans="2:2" x14ac:dyDescent="0.45">
      <c r="B148" s="148"/>
    </row>
    <row r="149" spans="2:2" x14ac:dyDescent="0.45">
      <c r="B149" s="148"/>
    </row>
    <row r="150" spans="2:2" x14ac:dyDescent="0.45">
      <c r="B150" s="148"/>
    </row>
    <row r="151" spans="2:2" x14ac:dyDescent="0.45">
      <c r="B151" s="148"/>
    </row>
    <row r="152" spans="2:2" x14ac:dyDescent="0.45">
      <c r="B152" s="148"/>
    </row>
    <row r="153" spans="2:2" x14ac:dyDescent="0.45">
      <c r="B153" s="148"/>
    </row>
    <row r="154" spans="2:2" x14ac:dyDescent="0.45">
      <c r="B154" s="148"/>
    </row>
    <row r="155" spans="2:2" x14ac:dyDescent="0.45">
      <c r="B155" s="148"/>
    </row>
    <row r="156" spans="2:2" x14ac:dyDescent="0.45">
      <c r="B156" s="148"/>
    </row>
    <row r="157" spans="2:2" x14ac:dyDescent="0.45">
      <c r="B157" s="148"/>
    </row>
    <row r="158" spans="2:2" x14ac:dyDescent="0.45">
      <c r="B158" s="148"/>
    </row>
    <row r="159" spans="2:2" x14ac:dyDescent="0.45">
      <c r="B159" s="148"/>
    </row>
    <row r="160" spans="2:2" x14ac:dyDescent="0.45">
      <c r="B160" s="148"/>
    </row>
    <row r="161" spans="2:2" x14ac:dyDescent="0.45">
      <c r="B161" s="148"/>
    </row>
  </sheetData>
  <sheetProtection formatCells="0" formatColumns="0" formatRows="0" sort="0" autoFilter="0"/>
  <mergeCells count="1112">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s>
  <conditionalFormatting sqref="H11:H60 H75:H95">
    <cfRule type="cellIs" dxfId="72" priority="78" operator="lessThan">
      <formula>6</formula>
    </cfRule>
    <cfRule type="cellIs" dxfId="71" priority="76" operator="equal">
      <formula>0</formula>
    </cfRule>
    <cfRule type="cellIs" dxfId="70" priority="77" operator="equal">
      <formula>6</formula>
    </cfRule>
  </conditionalFormatting>
  <conditionalFormatting sqref="H63:H68">
    <cfRule type="cellIs" dxfId="69" priority="1" operator="equal">
      <formula>0</formula>
    </cfRule>
    <cfRule type="cellIs" dxfId="68" priority="2" operator="equal">
      <formula>6</formula>
    </cfRule>
    <cfRule type="cellIs" dxfId="67" priority="3" operator="lessThan">
      <formula>6</formula>
    </cfRule>
  </conditionalFormatting>
  <conditionalFormatting sqref="Y62:AG62">
    <cfRule type="cellIs" dxfId="66" priority="47" operator="greaterThan">
      <formula>1</formula>
    </cfRule>
    <cfRule type="cellIs" dxfId="65" priority="46" operator="lessThan">
      <formula>1</formula>
    </cfRule>
  </conditionalFormatting>
  <conditionalFormatting sqref="AA63:AB63 AD63">
    <cfRule type="cellIs" dxfId="64" priority="72" operator="lessThan">
      <formula>10</formula>
    </cfRule>
  </conditionalFormatting>
  <conditionalFormatting sqref="AA66:AB66 AD66:AE66 AH66:AI66 AK66:AM66 AH69:AI73 AK69:AL73">
    <cfRule type="cellIs" dxfId="63" priority="60" operator="equal">
      <formula>10</formula>
    </cfRule>
  </conditionalFormatting>
  <conditionalFormatting sqref="AA66:AB66 AD66:AE66">
    <cfRule type="cellIs" dxfId="62" priority="71" operator="lessThan">
      <formula>10</formula>
    </cfRule>
  </conditionalFormatting>
  <conditionalFormatting sqref="AA69:AB73 AD69:AG73">
    <cfRule type="cellIs" dxfId="61" priority="64" operator="greaterThan">
      <formula>1</formula>
    </cfRule>
    <cfRule type="cellIs" dxfId="60" priority="63" operator="lessThan">
      <formula>1</formula>
    </cfRule>
  </conditionalFormatting>
  <conditionalFormatting sqref="AA46:AC46 AA52:AD52 AA55:AD55">
    <cfRule type="cellIs" dxfId="59" priority="73" operator="lessThan">
      <formula>10</formula>
    </cfRule>
  </conditionalFormatting>
  <conditionalFormatting sqref="AA52:AD58 AF58:AG58 AE58:AE60 AA62:AE62 AA63:AB73 AD63:AE73">
    <cfRule type="cellIs" dxfId="58" priority="15" operator="equal">
      <formula>1</formula>
    </cfRule>
  </conditionalFormatting>
  <conditionalFormatting sqref="AA58:AE58">
    <cfRule type="cellIs" dxfId="57" priority="66" operator="lessThan">
      <formula>10</formula>
    </cfRule>
  </conditionalFormatting>
  <conditionalFormatting sqref="AA11:AG11 AA12:AF13 AF14:AG14 AA14:AE16 AF15:AF16 AA17:AG17 AA18:AF19 AA25:AF26 AA27:AG27 AA28:AF30 AA33:AG33 AA34:AF35 AB36:AG36 AA36:AA38 AB37:AF38 AA39:AG39 AA40:AF41 AA42:AG42 AA43:AF44 AA45:AG46 AA47:AF48 AA49:AG49 AA50:AF51 AF52:AG52 AF53:AF54 AF55:AG55 AF56:AF57 AA59:AF60 AA75:AD87 AE87:AG87 AA88:AC89 AA90:AD95">
    <cfRule type="cellIs" dxfId="56" priority="70" operator="equal">
      <formula>1</formula>
    </cfRule>
  </conditionalFormatting>
  <conditionalFormatting sqref="AA20:AG24">
    <cfRule type="cellIs" dxfId="55" priority="6" operator="equal">
      <formula>1</formula>
    </cfRule>
  </conditionalFormatting>
  <conditionalFormatting sqref="AD17 Y45:AD45">
    <cfRule type="cellIs" dxfId="54" priority="74" operator="lessThan">
      <formula>1</formula>
    </cfRule>
    <cfRule type="cellIs" dxfId="53" priority="75" operator="greaterThan">
      <formula>1</formula>
    </cfRule>
  </conditionalFormatting>
  <conditionalFormatting sqref="AD24:AD30 AD33:AD44">
    <cfRule type="cellIs" dxfId="52" priority="81" operator="lessThan">
      <formula>1</formula>
    </cfRule>
    <cfRule type="cellIs" dxfId="51" priority="82" operator="greaterThan">
      <formula>1</formula>
    </cfRule>
  </conditionalFormatting>
  <conditionalFormatting sqref="AD46">
    <cfRule type="cellIs" dxfId="50" priority="79" operator="lessThan">
      <formula>1</formula>
    </cfRule>
    <cfRule type="cellIs" dxfId="49" priority="80" operator="greaterThan">
      <formula>1</formula>
    </cfRule>
  </conditionalFormatting>
  <conditionalFormatting sqref="AD49">
    <cfRule type="cellIs" dxfId="48" priority="22" operator="greaterThan">
      <formula>1</formula>
    </cfRule>
    <cfRule type="cellIs" dxfId="47" priority="21" operator="lessThan">
      <formula>1</formula>
    </cfRule>
  </conditionalFormatting>
  <conditionalFormatting sqref="AD11:AE16">
    <cfRule type="cellIs" dxfId="46" priority="45" operator="greaterThan">
      <formula>1</formula>
    </cfRule>
    <cfRule type="cellIs" dxfId="45" priority="44" operator="lessThan">
      <formula>1</formula>
    </cfRule>
  </conditionalFormatting>
  <conditionalFormatting sqref="AD20:AE23">
    <cfRule type="cellIs" dxfId="44" priority="4" operator="lessThan">
      <formula>1</formula>
    </cfRule>
    <cfRule type="cellIs" dxfId="43" priority="5" operator="greaterThan">
      <formula>1</formula>
    </cfRule>
  </conditionalFormatting>
  <conditionalFormatting sqref="AE62">
    <cfRule type="cellIs" dxfId="42" priority="17" operator="greaterThan">
      <formula>1</formula>
    </cfRule>
  </conditionalFormatting>
  <conditionalFormatting sqref="AF63:AF68">
    <cfRule type="cellIs" dxfId="41" priority="16" operator="equal">
      <formula>1</formula>
    </cfRule>
  </conditionalFormatting>
  <conditionalFormatting sqref="AH66:AI66 AK66:AM66 AH69:AI73 AK69:AL73">
    <cfRule type="cellIs" dxfId="40" priority="61" operator="lessThan">
      <formula>10</formula>
    </cfRule>
  </conditionalFormatting>
  <conditionalFormatting sqref="AH62:AL62 AH63:AI63 AK63:AM63">
    <cfRule type="cellIs" dxfId="39" priority="62" operator="lessThan">
      <formula>10</formula>
    </cfRule>
  </conditionalFormatting>
  <conditionalFormatting sqref="AO11:AO30 AO33:AO44 AO46:AO60">
    <cfRule type="cellIs" dxfId="38" priority="69" operator="lessThan">
      <formula>30</formula>
    </cfRule>
  </conditionalFormatting>
  <conditionalFormatting sqref="AO52:AO60 AO75:AO95">
    <cfRule type="cellIs" dxfId="37" priority="68" operator="lessThan">
      <formula>40</formula>
    </cfRule>
  </conditionalFormatting>
  <conditionalFormatting sqref="AO62:AO63 AO66 AO69:AO73">
    <cfRule type="cellIs" dxfId="36" priority="67" operator="lessThan">
      <formula>40</formula>
    </cfRule>
  </conditionalFormatting>
  <conditionalFormatting sqref="AO62:AO68">
    <cfRule type="cellIs" dxfId="35" priority="40" operator="greaterThan">
      <formula>39</formula>
    </cfRule>
  </conditionalFormatting>
  <conditionalFormatting sqref="AO75:AO95">
    <cfRule type="cellIs" dxfId="34" priority="42" operator="equal">
      <formula>40</formula>
    </cfRule>
  </conditionalFormatting>
  <conditionalFormatting sqref="AQ11:AQ46 AQ52 AQ55 AQ58">
    <cfRule type="cellIs" dxfId="33" priority="59" operator="lessThan">
      <formula>65</formula>
    </cfRule>
    <cfRule type="cellIs" dxfId="32" priority="58" operator="lessThan">
      <formula>55</formula>
    </cfRule>
    <cfRule type="cellIs" dxfId="31" priority="57" operator="equal">
      <formula>55</formula>
    </cfRule>
  </conditionalFormatting>
  <conditionalFormatting sqref="AQ11:AQ60 AO11:AO30 AO33:AO60 AQ62:AQ73">
    <cfRule type="cellIs" dxfId="30" priority="43" operator="greaterThan">
      <formula>29</formula>
    </cfRule>
  </conditionalFormatting>
  <conditionalFormatting sqref="AQ49">
    <cfRule type="cellIs" dxfId="29" priority="19" operator="lessThan">
      <formula>55</formula>
    </cfRule>
    <cfRule type="cellIs" dxfId="28" priority="20" operator="lessThan">
      <formula>65</formula>
    </cfRule>
    <cfRule type="cellIs" dxfId="27" priority="18" operator="equal">
      <formula>55</formula>
    </cfRule>
  </conditionalFormatting>
  <conditionalFormatting sqref="AQ62:AQ63 AQ66">
    <cfRule type="cellIs" dxfId="26" priority="55" operator="lessThan">
      <formula>55</formula>
    </cfRule>
    <cfRule type="cellIs" dxfId="25" priority="56" operator="lessThan">
      <formula>65</formula>
    </cfRule>
    <cfRule type="cellIs" dxfId="24" priority="54" operator="equal">
      <formula>55</formula>
    </cfRule>
  </conditionalFormatting>
  <conditionalFormatting sqref="AQ69:AQ73">
    <cfRule type="cellIs" dxfId="23" priority="51" operator="equal">
      <formula>55</formula>
    </cfRule>
    <cfRule type="cellIs" dxfId="22" priority="52" operator="lessThan">
      <formula>55</formula>
    </cfRule>
    <cfRule type="cellIs" dxfId="21" priority="53" operator="lessThan">
      <formula>65</formula>
    </cfRule>
  </conditionalFormatting>
  <conditionalFormatting sqref="AQ75 AQ78">
    <cfRule type="cellIs" dxfId="20" priority="48" operator="equal">
      <formula>55</formula>
    </cfRule>
    <cfRule type="cellIs" dxfId="19" priority="49" operator="lessThan">
      <formula>55</formula>
    </cfRule>
    <cfRule type="cellIs" dxfId="18" priority="50" operator="lessThan">
      <formula>65</formula>
    </cfRule>
  </conditionalFormatting>
  <conditionalFormatting sqref="AQ75:AQ95">
    <cfRule type="cellIs" dxfId="17" priority="41" operator="greaterThan">
      <formula>29</formula>
    </cfRule>
  </conditionalFormatting>
  <conditionalFormatting sqref="AQ81">
    <cfRule type="cellIs" dxfId="16" priority="34" operator="lessThan">
      <formula>65</formula>
    </cfRule>
    <cfRule type="cellIs" dxfId="15" priority="33" operator="lessThan">
      <formula>55</formula>
    </cfRule>
    <cfRule type="cellIs" dxfId="14" priority="32" operator="equal">
      <formula>55</formula>
    </cfRule>
  </conditionalFormatting>
  <conditionalFormatting sqref="AQ84 AQ87">
    <cfRule type="cellIs" dxfId="13" priority="31" operator="lessThan">
      <formula>65</formula>
    </cfRule>
    <cfRule type="cellIs" dxfId="12" priority="30" operator="lessThan">
      <formula>55</formula>
    </cfRule>
    <cfRule type="cellIs" dxfId="11" priority="29" operator="equal">
      <formula>55</formula>
    </cfRule>
  </conditionalFormatting>
  <conditionalFormatting sqref="AQ90">
    <cfRule type="cellIs" dxfId="10" priority="28" operator="lessThan">
      <formula>65</formula>
    </cfRule>
    <cfRule type="cellIs" dxfId="9" priority="27" operator="lessThan">
      <formula>55</formula>
    </cfRule>
    <cfRule type="cellIs" dxfId="8" priority="26" operator="equal">
      <formula>55</formula>
    </cfRule>
  </conditionalFormatting>
  <conditionalFormatting sqref="AQ93">
    <cfRule type="cellIs" dxfId="7" priority="25" operator="lessThan">
      <formula>65</formula>
    </cfRule>
    <cfRule type="cellIs" dxfId="6" priority="24" operator="lessThan">
      <formula>55</formula>
    </cfRule>
    <cfRule type="cellIs" dxfId="5" priority="23" operator="equal">
      <formula>55</formula>
    </cfRule>
  </conditionalFormatting>
  <conditionalFormatting sqref="AS97">
    <cfRule type="cellIs" dxfId="4" priority="38" operator="between">
      <formula>0.6</formula>
      <formula>0.79</formula>
    </cfRule>
    <cfRule type="cellIs" dxfId="3" priority="37" operator="between">
      <formula>0</formula>
      <formula>59</formula>
    </cfRule>
    <cfRule type="cellIs" dxfId="2" priority="35" operator="between">
      <formula>80</formula>
      <formula>1</formula>
    </cfRule>
    <cfRule type="cellIs" dxfId="1" priority="39" operator="between">
      <formula>0.8</formula>
      <formula>1</formula>
    </cfRule>
    <cfRule type="cellIs" dxfId="0" priority="36" operator="between">
      <formula>0</formula>
      <formula>0.59</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11:P60 N62:P63 N69:P73 N66:P66" xr:uid="{558C7361-A086-4140-8FAA-A33F21886D41}">
      <formula1>5</formula1>
    </dataValidation>
    <dataValidation type="whole" operator="lessThanOrEqual" showInputMessage="1" showErrorMessage="1" sqref="E90:G97 E11:G60 E75:G87 E62:G73 J63:K68" xr:uid="{D411D255-7B3B-4E09-AC3F-E32A60CC3483}">
      <formula1>2</formula1>
    </dataValidation>
    <dataValidation type="whole" operator="lessThanOrEqual" allowBlank="1" showInputMessage="1" showErrorMessage="1" sqref="AS24:AT24 AS27:AT27 AS36:AT36 AS39:AT39 AS42:AT42 AS52:AT52 J11:K60 J62:K62 J69:K95"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116</v>
      </c>
    </row>
    <row r="2" spans="1:1" x14ac:dyDescent="0.3">
      <c r="A2" t="s">
        <v>117</v>
      </c>
    </row>
    <row r="3" spans="1:1" x14ac:dyDescent="0.3">
      <c r="A3" t="s">
        <v>118</v>
      </c>
    </row>
    <row r="4" spans="1:1" x14ac:dyDescent="0.3">
      <c r="A4" t="s">
        <v>119</v>
      </c>
    </row>
    <row r="5" spans="1:1" x14ac:dyDescent="0.3">
      <c r="A5" t="s">
        <v>120</v>
      </c>
    </row>
    <row r="6" spans="1:1" x14ac:dyDescent="0.3">
      <c r="A6" t="s">
        <v>121</v>
      </c>
    </row>
    <row r="7" spans="1:1" x14ac:dyDescent="0.3">
      <c r="A7" t="s">
        <v>122</v>
      </c>
    </row>
    <row r="8" spans="1:1" x14ac:dyDescent="0.3">
      <c r="A8" t="s">
        <v>123</v>
      </c>
    </row>
    <row r="9" spans="1:1" x14ac:dyDescent="0.3">
      <c r="A9" t="s">
        <v>124</v>
      </c>
    </row>
    <row r="10" spans="1:1" x14ac:dyDescent="0.3">
      <c r="A10" t="s">
        <v>125</v>
      </c>
    </row>
    <row r="11" spans="1:1" x14ac:dyDescent="0.3">
      <c r="A11" t="s">
        <v>126</v>
      </c>
    </row>
    <row r="12" spans="1:1" x14ac:dyDescent="0.3">
      <c r="A12" t="s">
        <v>127</v>
      </c>
    </row>
    <row r="13" spans="1:1" x14ac:dyDescent="0.3">
      <c r="A13" t="s">
        <v>128</v>
      </c>
    </row>
    <row r="14" spans="1:1" x14ac:dyDescent="0.3">
      <c r="A14" t="s">
        <v>129</v>
      </c>
    </row>
    <row r="15" spans="1:1" x14ac:dyDescent="0.3">
      <c r="A15" t="s">
        <v>130</v>
      </c>
    </row>
    <row r="16" spans="1:1" x14ac:dyDescent="0.3">
      <c r="A16" t="s">
        <v>131</v>
      </c>
    </row>
    <row r="17" spans="1:1" x14ac:dyDescent="0.3">
      <c r="A17" t="s">
        <v>132</v>
      </c>
    </row>
    <row r="18" spans="1:1" x14ac:dyDescent="0.3">
      <c r="A18" t="s">
        <v>133</v>
      </c>
    </row>
    <row r="19" spans="1:1" x14ac:dyDescent="0.3">
      <c r="A19" t="s">
        <v>134</v>
      </c>
    </row>
    <row r="20" spans="1:1" x14ac:dyDescent="0.3">
      <c r="A20" t="s">
        <v>135</v>
      </c>
    </row>
    <row r="21" spans="1:1" x14ac:dyDescent="0.3">
      <c r="A21" t="s">
        <v>136</v>
      </c>
    </row>
    <row r="22" spans="1:1" x14ac:dyDescent="0.3">
      <c r="A22" t="s">
        <v>137</v>
      </c>
    </row>
    <row r="23" spans="1:1" x14ac:dyDescent="0.3">
      <c r="A23" t="s">
        <v>138</v>
      </c>
    </row>
    <row r="24" spans="1:1" x14ac:dyDescent="0.3">
      <c r="A24" t="s">
        <v>139</v>
      </c>
    </row>
    <row r="25" spans="1:1" x14ac:dyDescent="0.3">
      <c r="A25" t="s">
        <v>140</v>
      </c>
    </row>
    <row r="26" spans="1:1" x14ac:dyDescent="0.3">
      <c r="A26" t="s">
        <v>141</v>
      </c>
    </row>
    <row r="27" spans="1:1" x14ac:dyDescent="0.3">
      <c r="A27" t="s">
        <v>142</v>
      </c>
    </row>
    <row r="28" spans="1:1" x14ac:dyDescent="0.3">
      <c r="A28" t="s">
        <v>143</v>
      </c>
    </row>
    <row r="29" spans="1:1" x14ac:dyDescent="0.3">
      <c r="A29" t="s">
        <v>144</v>
      </c>
    </row>
    <row r="30" spans="1:1" x14ac:dyDescent="0.3">
      <c r="A30" t="s">
        <v>145</v>
      </c>
    </row>
    <row r="31" spans="1:1" x14ac:dyDescent="0.3">
      <c r="A31" t="s">
        <v>146</v>
      </c>
    </row>
    <row r="32" spans="1:1" x14ac:dyDescent="0.3">
      <c r="A32" t="s">
        <v>147</v>
      </c>
    </row>
    <row r="33" spans="1:1" x14ac:dyDescent="0.3">
      <c r="A33" t="s">
        <v>148</v>
      </c>
    </row>
    <row r="34" spans="1:1" x14ac:dyDescent="0.3">
      <c r="A34" t="s">
        <v>149</v>
      </c>
    </row>
    <row r="35" spans="1:1" x14ac:dyDescent="0.3">
      <c r="A35" t="s">
        <v>150</v>
      </c>
    </row>
    <row r="36" spans="1:1" x14ac:dyDescent="0.3">
      <c r="A36" t="s">
        <v>151</v>
      </c>
    </row>
    <row r="37" spans="1:1" x14ac:dyDescent="0.3">
      <c r="A37" t="s">
        <v>152</v>
      </c>
    </row>
    <row r="38" spans="1:1" x14ac:dyDescent="0.3">
      <c r="A38" t="s">
        <v>153</v>
      </c>
    </row>
    <row r="39" spans="1:1" x14ac:dyDescent="0.3">
      <c r="A39" t="s">
        <v>154</v>
      </c>
    </row>
    <row r="40" spans="1:1" x14ac:dyDescent="0.3">
      <c r="A40" t="s">
        <v>155</v>
      </c>
    </row>
    <row r="41" spans="1:1" x14ac:dyDescent="0.3">
      <c r="A41" t="s">
        <v>156</v>
      </c>
    </row>
    <row r="42" spans="1:1" x14ac:dyDescent="0.3">
      <c r="A42" t="s">
        <v>157</v>
      </c>
    </row>
    <row r="43" spans="1:1" x14ac:dyDescent="0.3">
      <c r="A43" t="s">
        <v>158</v>
      </c>
    </row>
    <row r="44" spans="1:1" x14ac:dyDescent="0.3">
      <c r="A44" t="s">
        <v>159</v>
      </c>
    </row>
    <row r="45" spans="1:1" x14ac:dyDescent="0.3">
      <c r="A45" t="s">
        <v>160</v>
      </c>
    </row>
    <row r="46" spans="1:1" x14ac:dyDescent="0.3">
      <c r="A46" t="s">
        <v>161</v>
      </c>
    </row>
    <row r="47" spans="1:1" x14ac:dyDescent="0.3">
      <c r="A47" t="s">
        <v>162</v>
      </c>
    </row>
    <row r="48" spans="1:1" x14ac:dyDescent="0.3">
      <c r="A48" t="s">
        <v>163</v>
      </c>
    </row>
    <row r="49" spans="1:1" x14ac:dyDescent="0.3">
      <c r="A49" t="s">
        <v>164</v>
      </c>
    </row>
    <row r="50" spans="1:1" x14ac:dyDescent="0.3">
      <c r="A50" t="s">
        <v>165</v>
      </c>
    </row>
    <row r="51" spans="1:1" x14ac:dyDescent="0.3">
      <c r="A51" t="s">
        <v>166</v>
      </c>
    </row>
    <row r="52" spans="1:1" x14ac:dyDescent="0.3">
      <c r="A52" t="s">
        <v>167</v>
      </c>
    </row>
    <row r="53" spans="1:1" x14ac:dyDescent="0.3">
      <c r="A53" t="s">
        <v>168</v>
      </c>
    </row>
    <row r="54" spans="1:1" x14ac:dyDescent="0.3">
      <c r="A54" t="s">
        <v>169</v>
      </c>
    </row>
    <row r="55" spans="1:1" x14ac:dyDescent="0.3">
      <c r="A55" t="s">
        <v>170</v>
      </c>
    </row>
    <row r="56" spans="1:1" x14ac:dyDescent="0.3">
      <c r="A56" t="s">
        <v>171</v>
      </c>
    </row>
    <row r="57" spans="1:1" x14ac:dyDescent="0.3">
      <c r="A57" t="s">
        <v>172</v>
      </c>
    </row>
    <row r="58" spans="1:1" x14ac:dyDescent="0.3">
      <c r="A58" t="s">
        <v>173</v>
      </c>
    </row>
    <row r="59" spans="1:1" x14ac:dyDescent="0.3">
      <c r="A59" t="s">
        <v>174</v>
      </c>
    </row>
    <row r="60" spans="1:1" x14ac:dyDescent="0.3">
      <c r="A60" t="s">
        <v>175</v>
      </c>
    </row>
    <row r="61" spans="1:1" x14ac:dyDescent="0.3">
      <c r="A61" t="s">
        <v>176</v>
      </c>
    </row>
    <row r="62" spans="1:1" x14ac:dyDescent="0.3">
      <c r="A62" t="s">
        <v>115</v>
      </c>
    </row>
    <row r="63" spans="1:1" x14ac:dyDescent="0.3">
      <c r="A63" t="s">
        <v>177</v>
      </c>
    </row>
    <row r="64" spans="1:1" x14ac:dyDescent="0.3">
      <c r="A6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2026-02-04T20:58:18Z</dcterms:modified>
  <cp:category/>
  <cp:contentStatus/>
</cp:coreProperties>
</file>